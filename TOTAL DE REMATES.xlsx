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200" windowHeight="11250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<sst xmlns="http://schemas.openxmlformats.org/spreadsheetml/2006/main" count="167" uniqueCount="48">
  <si>
    <t xml:space="preserve">        CALIFORNIA CHROME</t>
  </si>
  <si>
    <t>HIPODROMO LA RINCONADA</t>
  </si>
  <si>
    <t>DOMINGO</t>
  </si>
  <si>
    <t>CARRERA</t>
  </si>
  <si>
    <t>TOTAL</t>
  </si>
  <si>
    <t>#</t>
  </si>
  <si>
    <t>JUGADORES</t>
  </si>
  <si>
    <t>MONTO</t>
  </si>
  <si>
    <t>CASA</t>
  </si>
  <si>
    <t>SOMBI</t>
  </si>
  <si>
    <t>LUIS</t>
  </si>
  <si>
    <t>CARLOS</t>
  </si>
  <si>
    <t>RAMON</t>
  </si>
  <si>
    <t>ALDEA</t>
  </si>
  <si>
    <t>ANGEL</t>
  </si>
  <si>
    <t>ALFONSO</t>
  </si>
  <si>
    <t>MACANO</t>
  </si>
  <si>
    <t>MIGUEL</t>
  </si>
  <si>
    <t>TOCAYO</t>
  </si>
  <si>
    <t>EL GOCHO</t>
  </si>
  <si>
    <t>PAPIRO</t>
  </si>
  <si>
    <t>CHAYO</t>
  </si>
  <si>
    <t>ALEXIS</t>
  </si>
  <si>
    <t>XIONNY</t>
  </si>
  <si>
    <t>MANRIQUE</t>
  </si>
  <si>
    <t>JUAN</t>
  </si>
  <si>
    <t>LIMA</t>
  </si>
  <si>
    <t>YORVIS</t>
  </si>
  <si>
    <t>VICTOR</t>
  </si>
  <si>
    <t>GIOVANNI</t>
  </si>
  <si>
    <t>POLLITO</t>
  </si>
  <si>
    <t>JESUS</t>
  </si>
  <si>
    <t>JACKSON</t>
  </si>
  <si>
    <t>JAVIER</t>
  </si>
  <si>
    <t>JONATHAN</t>
  </si>
  <si>
    <t>MARBE</t>
  </si>
  <si>
    <t>PEDRITO</t>
  </si>
  <si>
    <t>ROBERTH</t>
  </si>
  <si>
    <t>WILLIAMS</t>
  </si>
  <si>
    <t>ELVIS</t>
  </si>
  <si>
    <t>MELEAN</t>
  </si>
  <si>
    <t>1 VALIDA</t>
  </si>
  <si>
    <t>CIEGA</t>
  </si>
  <si>
    <t>6 VALIDA</t>
  </si>
  <si>
    <t>DUPLETA</t>
  </si>
  <si>
    <t>KAKO</t>
  </si>
  <si>
    <t>MARIA MERCEDES</t>
  </si>
  <si>
    <t>REINNER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</si>
</sst>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3" formatCode="_-* #,##0.00_-;\-* #,##0.00_-;_-* &quot;-&quot;??_-;_-@_-"/>
    <numFmt numFmtId="176" formatCode="_-* #,##0.00\ &quot;€&quot;_-;\-* #,##0.00\ &quot;€&quot;_-;_-* \-??\ &quot;€&quot;_-;_-@_-"/>
    <numFmt numFmtId="177" formatCode="_-* #,##0\ &quot;€&quot;_-;\-* #,##0\ &quot;€&quot;_-;_-* &quot;-&quot;\ &quot;€&quot;_-;_-@_-"/>
    <numFmt numFmtId="178" formatCode="[$-40A]dd\-mmm"/>
  </numFmts>
  <fonts count="36">
    <font>
      <sz val="11"/>
      <name val="Calibri"/>
      <charset val="134"/>
    </font>
    <font>
      <sz val="20"/>
      <color rgb="FF000000"/>
      <name val="Ache-Condensed"/>
      <charset val="134"/>
    </font>
    <font>
      <sz val="11"/>
      <color rgb="FF000000"/>
      <name val="Calibri"/>
      <charset val="134"/>
    </font>
    <font>
      <sz val="11"/>
      <color rgb="FFFFFFFF"/>
      <name val="Calibri"/>
      <charset val="134"/>
    </font>
    <font>
      <sz val="16"/>
      <color rgb="FFFFFFFF"/>
      <name val="Ache-Condensed"/>
      <charset val="134"/>
    </font>
    <font>
      <sz val="14"/>
      <color rgb="FFFFFFFF"/>
      <name val="Ache-Condensed"/>
      <charset val="134"/>
    </font>
    <font>
      <sz val="14"/>
      <color rgb="FF000000"/>
      <name val="Ache-Condensed"/>
      <charset val="134"/>
    </font>
    <font>
      <b/>
      <sz val="11"/>
      <color rgb="FF000000"/>
      <name val="Calibri"/>
      <charset val="134"/>
    </font>
    <font>
      <b/>
      <sz val="14"/>
      <color rgb="FF000000"/>
      <name val="Calibri"/>
      <charset val="134"/>
    </font>
    <font>
      <b/>
      <sz val="14"/>
      <color rgb="FFFFFFFF"/>
      <name val="Calibri"/>
      <charset val="134"/>
    </font>
    <font>
      <b/>
      <sz val="14"/>
      <color rgb="FFFF0000"/>
      <name val="Calibri"/>
      <charset val="134"/>
    </font>
    <font>
      <sz val="14"/>
      <color rgb="FF000000"/>
      <name val="Calibri"/>
      <charset val="134"/>
    </font>
    <font>
      <b/>
      <sz val="12"/>
      <color rgb="FF000000"/>
      <name val="Calibri"/>
      <charset val="134"/>
    </font>
    <font>
      <b/>
      <sz val="11"/>
      <color rgb="FFFFFFFF"/>
      <name val="Calibri"/>
      <charset val="134"/>
    </font>
    <font>
      <b/>
      <sz val="11"/>
      <name val="Calibri"/>
      <charset val="134"/>
    </font>
    <font>
      <b/>
      <sz val="11"/>
      <color theme="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51">
    <fill>
      <patternFill patternType="none"/>
    </fill>
    <fill>
      <patternFill patternType="gray125"/>
    </fill>
    <fill>
      <patternFill patternType="solid">
        <fgColor rgb="FFFFB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2F75B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ADAAAA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B4C7E7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60AC9"/>
        <bgColor indexed="64"/>
      </patternFill>
    </fill>
    <fill>
      <patternFill patternType="solid">
        <fgColor rgb="FFED7B30"/>
        <bgColor indexed="64"/>
      </patternFill>
    </fill>
    <fill>
      <patternFill patternType="solid">
        <fgColor rgb="FF7C7C7C"/>
        <bgColor indexed="64"/>
      </patternFill>
    </fill>
    <fill>
      <patternFill patternType="solid">
        <fgColor rgb="FF00A413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6" fillId="0" borderId="0" applyFont="0" applyFill="0" applyBorder="0" applyAlignment="0" applyProtection="0">
      <alignment vertical="center"/>
    </xf>
    <xf numFmtId="176" fontId="1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21" borderId="2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3" fillId="0" borderId="3" applyNumberFormat="0" applyFill="0" applyAlignment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22" borderId="5" applyNumberFormat="0" applyAlignment="0" applyProtection="0">
      <alignment vertical="center"/>
    </xf>
    <xf numFmtId="0" fontId="26" fillId="23" borderId="6" applyNumberFormat="0" applyAlignment="0" applyProtection="0">
      <alignment vertical="center"/>
    </xf>
    <xf numFmtId="0" fontId="27" fillId="23" borderId="5" applyNumberFormat="0" applyAlignment="0" applyProtection="0">
      <alignment vertical="center"/>
    </xf>
    <xf numFmtId="0" fontId="28" fillId="19" borderId="7" applyNumberFormat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4" fillId="38" borderId="0" applyNumberFormat="0" applyBorder="0" applyAlignment="0" applyProtection="0">
      <alignment vertical="center"/>
    </xf>
    <xf numFmtId="0" fontId="34" fillId="39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34" fillId="42" borderId="0" applyNumberFormat="0" applyBorder="0" applyAlignment="0" applyProtection="0">
      <alignment vertical="center"/>
    </xf>
    <xf numFmtId="0" fontId="34" fillId="43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5" fillId="45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7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9" borderId="0" applyNumberFormat="0" applyBorder="0" applyAlignment="0" applyProtection="0">
      <alignment vertical="center"/>
    </xf>
    <xf numFmtId="0" fontId="34" fillId="50" borderId="0" applyNumberFormat="0" applyBorder="0" applyAlignment="0" applyProtection="0">
      <alignment vertical="center"/>
    </xf>
  </cellStyleXfs>
  <cellXfs count="58">
    <xf numFmtId="0" fontId="0" fillId="0" borderId="0" xfId="0">
      <alignment vertical="center"/>
    </xf>
    <xf numFmtId="0" fontId="1" fillId="2" borderId="0" xfId="0" applyFont="1" applyFill="1" applyAlignment="1">
      <alignment horizontal="left"/>
    </xf>
    <xf numFmtId="0" fontId="2" fillId="2" borderId="0" xfId="0" applyFont="1" applyFill="1" applyAlignment="1"/>
    <xf numFmtId="0" fontId="1" fillId="3" borderId="0" xfId="0" applyFont="1" applyFill="1" applyAlignment="1">
      <alignment horizontal="left"/>
    </xf>
    <xf numFmtId="0" fontId="3" fillId="4" borderId="0" xfId="0" applyFont="1" applyFill="1" applyAlignment="1"/>
    <xf numFmtId="0" fontId="4" fillId="4" borderId="0" xfId="0" applyFont="1" applyFill="1" applyAlignment="1"/>
    <xf numFmtId="0" fontId="5" fillId="4" borderId="0" xfId="0" applyFont="1" applyFill="1" applyAlignment="1"/>
    <xf numFmtId="0" fontId="2" fillId="4" borderId="0" xfId="0" applyFont="1" applyFill="1" applyAlignment="1"/>
    <xf numFmtId="0" fontId="5" fillId="3" borderId="0" xfId="0" applyFont="1" applyFill="1" applyAlignment="1"/>
    <xf numFmtId="0" fontId="5" fillId="5" borderId="0" xfId="0" applyFont="1" applyFill="1" applyAlignment="1"/>
    <xf numFmtId="0" fontId="6" fillId="5" borderId="0" xfId="0" applyFont="1" applyFill="1" applyAlignment="1"/>
    <xf numFmtId="0" fontId="2" fillId="6" borderId="0" xfId="0" applyFont="1" applyFill="1">
      <alignment vertical="center"/>
    </xf>
    <xf numFmtId="0" fontId="2" fillId="3" borderId="0" xfId="0" applyFont="1" applyFill="1">
      <alignment vertical="center"/>
    </xf>
    <xf numFmtId="0" fontId="7" fillId="6" borderId="0" xfId="0" applyFont="1" applyFill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11" borderId="1" xfId="0" applyFont="1" applyFill="1" applyBorder="1" applyAlignment="1">
      <alignment horizontal="center" vertical="center"/>
    </xf>
    <xf numFmtId="0" fontId="8" fillId="12" borderId="1" xfId="0" applyFont="1" applyFill="1" applyBorder="1" applyAlignment="1">
      <alignment horizontal="center" vertical="center"/>
    </xf>
    <xf numFmtId="0" fontId="9" fillId="13" borderId="1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/>
    </xf>
    <xf numFmtId="0" fontId="8" fillId="14" borderId="1" xfId="0" applyFont="1" applyFill="1" applyBorder="1" applyAlignment="1">
      <alignment horizontal="center" vertical="center"/>
    </xf>
    <xf numFmtId="0" fontId="8" fillId="15" borderId="1" xfId="0" applyFont="1" applyFill="1" applyBorder="1" applyAlignment="1">
      <alignment horizontal="center" vertical="center"/>
    </xf>
    <xf numFmtId="0" fontId="8" fillId="13" borderId="1" xfId="0" applyFont="1" applyFill="1" applyBorder="1" applyAlignment="1">
      <alignment horizontal="center" vertical="center"/>
    </xf>
    <xf numFmtId="0" fontId="8" fillId="16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8" fillId="17" borderId="1" xfId="0" applyFont="1" applyFill="1" applyBorder="1" applyAlignment="1">
      <alignment horizontal="center" vertical="center"/>
    </xf>
    <xf numFmtId="0" fontId="8" fillId="18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8" fillId="19" borderId="1" xfId="0" applyFont="1" applyFill="1" applyBorder="1" applyAlignment="1">
      <alignment horizontal="center" vertical="center"/>
    </xf>
    <xf numFmtId="0" fontId="11" fillId="7" borderId="1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2" fillId="7" borderId="0" xfId="0" applyFont="1" applyFill="1">
      <alignment vertical="center"/>
    </xf>
    <xf numFmtId="0" fontId="2" fillId="20" borderId="0" xfId="0" applyFont="1" applyFill="1">
      <alignment vertical="center"/>
    </xf>
    <xf numFmtId="0" fontId="7" fillId="5" borderId="1" xfId="0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3" fillId="11" borderId="1" xfId="0" applyFont="1" applyFill="1" applyBorder="1" applyAlignment="1">
      <alignment horizontal="center" vertical="center"/>
    </xf>
    <xf numFmtId="0" fontId="7" fillId="14" borderId="1" xfId="0" applyFont="1" applyFill="1" applyBorder="1" applyAlignment="1">
      <alignment horizontal="center" vertical="center"/>
    </xf>
    <xf numFmtId="0" fontId="13" fillId="13" borderId="1" xfId="0" applyFont="1" applyFill="1" applyBorder="1" applyAlignment="1">
      <alignment horizontal="center" vertical="center"/>
    </xf>
    <xf numFmtId="0" fontId="7" fillId="12" borderId="1" xfId="0" applyFont="1" applyFill="1" applyBorder="1" applyAlignment="1">
      <alignment horizontal="center" vertical="center"/>
    </xf>
    <xf numFmtId="0" fontId="7" fillId="15" borderId="1" xfId="0" applyFont="1" applyFill="1" applyBorder="1" applyAlignment="1">
      <alignment horizontal="center" vertical="center"/>
    </xf>
    <xf numFmtId="0" fontId="7" fillId="16" borderId="1" xfId="0" applyFont="1" applyFill="1" applyBorder="1" applyAlignment="1">
      <alignment horizontal="center" vertical="center"/>
    </xf>
    <xf numFmtId="0" fontId="7" fillId="18" borderId="1" xfId="0" applyFont="1" applyFill="1" applyBorder="1" applyAlignment="1">
      <alignment horizontal="center" vertical="center"/>
    </xf>
    <xf numFmtId="0" fontId="14" fillId="5" borderId="1" xfId="0" applyFont="1" applyFill="1" applyBorder="1" applyAlignment="1">
      <alignment horizontal="center" vertical="center"/>
    </xf>
    <xf numFmtId="0" fontId="7" fillId="17" borderId="1" xfId="0" applyFont="1" applyFill="1" applyBorder="1" applyAlignment="1">
      <alignment horizontal="center" vertical="center"/>
    </xf>
    <xf numFmtId="178" fontId="7" fillId="16" borderId="1" xfId="0" applyNumberFormat="1" applyFont="1" applyFill="1" applyBorder="1" applyAlignment="1">
      <alignment horizontal="center" vertical="center"/>
    </xf>
    <xf numFmtId="0" fontId="2" fillId="7" borderId="0" xfId="0" applyFont="1" applyFill="1">
      <alignment vertical="center"/>
    </xf>
    <xf numFmtId="0" fontId="15" fillId="10" borderId="1" xfId="0" applyFont="1" applyFill="1" applyBorder="1" applyAlignment="1">
      <alignment horizontal="center" vertical="center"/>
    </xf>
    <xf numFmtId="0" fontId="15" fillId="12" borderId="1" xfId="0" applyFont="1" applyFill="1" applyBorder="1" applyAlignment="1">
      <alignment horizontal="center" vertical="center"/>
    </xf>
    <xf numFmtId="0" fontId="15" fillId="5" borderId="1" xfId="0" applyFont="1" applyFill="1" applyBorder="1" applyAlignment="1">
      <alignment horizontal="center" vertical="center"/>
    </xf>
    <xf numFmtId="0" fontId="15" fillId="18" borderId="1" xfId="0" applyFont="1" applyFill="1" applyBorder="1" applyAlignment="1">
      <alignment horizontal="center" vertical="center"/>
    </xf>
    <xf numFmtId="0" fontId="14" fillId="0" borderId="1" xfId="0" applyFont="1" applyBorder="1">
      <alignment vertical="center"/>
    </xf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dxfs count="17">
    <dxf>
      <fill>
        <patternFill patternType="solid">
          <fgColor rgb="FFDEEAF6"/>
          <bgColor rgb="FFDEEAF6"/>
        </patternFill>
      </fill>
    </dxf>
    <dxf>
      <fill>
        <patternFill patternType="solid">
          <fgColor rgb="FFDEEAF6"/>
          <bgColor rgb="FFDEEAF6"/>
        </patternFill>
      </fill>
    </dxf>
    <dxf>
      <font>
        <b val="1"/>
        <color rgb="FF000000"/>
      </font>
    </dxf>
    <dxf>
      <font>
        <b val="1"/>
        <color rgb="FF000000"/>
      </font>
    </dxf>
    <dxf>
      <font>
        <b val="1"/>
        <color rgb="FF000000"/>
      </font>
      <border>
        <left/>
        <right/>
        <top style="double">
          <color rgb="FF5C9BD5"/>
        </top>
        <bottom/>
      </border>
    </dxf>
    <dxf>
      <font>
        <b val="1"/>
        <color rgb="FFFFFFFF"/>
      </font>
      <fill>
        <patternFill patternType="solid">
          <fgColor rgb="FF5C9BD5"/>
          <bgColor rgb="FF5C9BD5"/>
        </patternFill>
      </fill>
    </dxf>
    <dxf>
      <font>
        <color rgb="FF000000"/>
      </font>
      <border>
        <left style="thin">
          <color rgb="FF5C9BD5"/>
        </left>
        <right style="thin">
          <color rgb="FF5C9BD5"/>
        </right>
        <top style="thin">
          <color rgb="FF5C9BD5"/>
        </top>
        <bottom style="thin">
          <color rgb="FF5C9BD5"/>
        </bottom>
      </border>
    </dxf>
    <dxf>
      <fill>
        <patternFill patternType="solid">
          <fgColor rgb="FFDEEAF6"/>
          <bgColor rgb="FFDEEAF6"/>
        </patternFill>
      </fill>
      <border>
        <left/>
        <right/>
        <top/>
        <bottom style="thin">
          <color rgb="FF9DC3E5"/>
        </bottom>
      </border>
    </dxf>
    <dxf>
      <font>
        <b val="1"/>
      </font>
      <fill>
        <patternFill patternType="solid">
          <fgColor rgb="FFDEEAF6"/>
          <bgColor rgb="FFDEEAF6"/>
        </patternFill>
      </fill>
      <border>
        <left/>
        <right/>
        <top/>
        <bottom style="thin">
          <color rgb="FF9DC3E5"/>
        </bottom>
      </border>
    </dxf>
    <dxf>
      <font>
        <color rgb="FF000000"/>
      </font>
    </dxf>
    <dxf>
      <font>
        <color rgb="FF000000"/>
      </font>
      <border>
        <left/>
        <right/>
        <top/>
        <bottom style="thin">
          <color rgb="FF9DC3E5"/>
        </bottom>
      </border>
    </dxf>
    <dxf>
      <font>
        <b val="1"/>
        <color rgb="FF000000"/>
      </font>
    </dxf>
    <dxf>
      <font>
        <b val="1"/>
        <color rgb="FF000000"/>
      </font>
      <border>
        <left/>
        <right/>
        <top style="thin">
          <color rgb="FF5C9BD5"/>
        </top>
        <bottom style="thin">
          <color rgb="FF5C9BD5"/>
        </bottom>
      </border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EEAF6"/>
          <bgColor rgb="FFDEEAF6"/>
        </patternFill>
      </fill>
    </dxf>
    <dxf>
      <font>
        <b val="1"/>
        <color rgb="FF000000"/>
      </font>
      <fill>
        <patternFill patternType="solid">
          <fgColor rgb="FFDEEAF6"/>
          <bgColor rgb="FFDEEAF6"/>
        </patternFill>
      </fill>
      <border>
        <left/>
        <right/>
        <top style="thin">
          <color rgb="FF9DC3E5"/>
        </top>
        <bottom style="thin">
          <color rgb="FF9DC3E5"/>
        </bottom>
      </border>
    </dxf>
    <dxf>
      <font>
        <b val="1"/>
        <color rgb="FF000000"/>
      </font>
      <fill>
        <patternFill patternType="solid">
          <fgColor rgb="FFDEEAF6"/>
          <bgColor rgb="FFDEEAF6"/>
        </patternFill>
      </fill>
      <border>
        <left/>
        <right/>
        <top/>
        <bottom style="thin">
          <color rgb="FF9DC3E5"/>
        </bottom>
      </border>
    </dxf>
  </dxfs>
  <tableStyles count="2" defaultTableStyle="TableStylePreset3_Accent1 1" defaultPivotStyle="PivotStylePreset2_Accent1 1">
    <tableStyle name="TableStylePreset3_Accent1 1" pivot="0" count="7" xr9:uid="{494BB1B4-6122-433B-9CDB-9FF9188D760C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 1" table="0" count="10" xr9:uid="{784CFA4B-3176-4BE4-94AC-3E2D35544A5E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113"/>
  <sheetViews>
    <sheetView tabSelected="1" topLeftCell="A3" workbookViewId="0">
      <selection activeCell="B14" sqref="B14"/>
    </sheetView>
  </sheetViews>
  <sheetFormatPr defaultColWidth="9" defaultRowHeight="15"/>
  <cols>
    <col min="1" max="1" width="5.71428571428571" customWidth="1"/>
    <col min="2" max="2" width="24.8571428571429" customWidth="1"/>
    <col min="3" max="3" width="9" customWidth="1"/>
    <col min="5" max="5" width="9" customWidth="1"/>
    <col min="7" max="7" width="9" customWidth="1"/>
    <col min="9" max="9" width="9" customWidth="1"/>
    <col min="11" max="11" width="9" customWidth="1"/>
    <col min="13" max="13" width="9" customWidth="1"/>
    <col min="14" max="14" width="8.85714285714286" customWidth="1"/>
    <col min="15" max="15" width="9" customWidth="1"/>
    <col min="17" max="17" width="9" customWidth="1"/>
    <col min="18" max="18" width="8.85714285714286" customWidth="1"/>
    <col min="19" max="19" width="9" customWidth="1"/>
    <col min="20" max="20" width="8.85714285714286" customWidth="1"/>
    <col min="21" max="21" width="9" customWidth="1"/>
    <col min="23" max="23" width="9" customWidth="1"/>
    <col min="25" max="25" width="9" customWidth="1"/>
    <col min="27" max="27" width="9" customWidth="1"/>
    <col min="29" max="29" width="12.4285714285714" customWidth="1"/>
  </cols>
  <sheetData>
    <row r="1" ht="25.5" spans="1:30">
      <c r="A1" s="1" t="s">
        <v>0</v>
      </c>
      <c r="B1" s="2"/>
      <c r="C1" s="2"/>
      <c r="D1" s="2"/>
      <c r="E1" s="1"/>
      <c r="F1" s="2"/>
      <c r="G1" s="2"/>
      <c r="H1" s="2"/>
      <c r="I1" s="1"/>
      <c r="J1" s="2"/>
      <c r="K1" s="2"/>
      <c r="L1" s="1"/>
      <c r="M1" s="1"/>
      <c r="N1" s="1"/>
      <c r="O1" s="1"/>
      <c r="P1" s="1"/>
      <c r="Q1" s="2"/>
      <c r="R1" s="1"/>
      <c r="S1" s="2"/>
      <c r="T1" s="2"/>
      <c r="U1" s="1"/>
      <c r="V1" s="1"/>
      <c r="W1" s="1"/>
      <c r="X1" s="1"/>
      <c r="Y1" s="1"/>
      <c r="Z1" s="1"/>
      <c r="AA1" s="1"/>
      <c r="AB1" s="1"/>
      <c r="AC1" s="1"/>
      <c r="AD1" s="3"/>
    </row>
    <row r="2" ht="20.25" spans="1:30">
      <c r="A2" s="4"/>
      <c r="B2" s="5" t="s">
        <v>1</v>
      </c>
      <c r="C2" s="6"/>
      <c r="D2" s="7"/>
      <c r="E2" s="4"/>
      <c r="F2" s="5"/>
      <c r="G2" s="6"/>
      <c r="H2" s="7"/>
      <c r="I2" s="4"/>
      <c r="J2" s="5"/>
      <c r="K2" s="6"/>
      <c r="L2" s="4"/>
      <c r="M2" s="5"/>
      <c r="N2" s="6"/>
      <c r="O2" s="5"/>
      <c r="P2" s="6"/>
      <c r="Q2" s="7"/>
      <c r="R2" s="4"/>
      <c r="S2" s="5"/>
      <c r="T2" s="6"/>
      <c r="U2" s="4"/>
      <c r="V2" s="5"/>
      <c r="W2" s="6"/>
      <c r="X2" s="5"/>
      <c r="Y2" s="6"/>
      <c r="Z2" s="4"/>
      <c r="AA2" s="5"/>
      <c r="AB2" s="6"/>
      <c r="AC2" s="5"/>
      <c r="AD2" s="8"/>
    </row>
    <row r="3" ht="18" spans="1:30">
      <c r="A3" s="9"/>
      <c r="B3" s="9" t="s">
        <v>2</v>
      </c>
      <c r="C3" s="9"/>
      <c r="D3" s="10"/>
      <c r="E3" s="9"/>
      <c r="F3" s="9"/>
      <c r="G3" s="9"/>
      <c r="H3" s="10"/>
      <c r="I3" s="9"/>
      <c r="J3" s="9"/>
      <c r="K3" s="9"/>
      <c r="L3" s="9"/>
      <c r="M3" s="9"/>
      <c r="N3" s="9"/>
      <c r="O3" s="9"/>
      <c r="P3" s="9"/>
      <c r="Q3" s="10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8"/>
    </row>
    <row r="4" spans="1:30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2"/>
    </row>
    <row r="5" spans="1:30">
      <c r="A5" s="13"/>
      <c r="B5" s="13"/>
      <c r="C5" s="14">
        <v>1</v>
      </c>
      <c r="D5" s="14" t="s">
        <v>3</v>
      </c>
      <c r="E5" s="14">
        <v>2</v>
      </c>
      <c r="F5" s="14" t="s">
        <v>3</v>
      </c>
      <c r="G5" s="14">
        <v>3</v>
      </c>
      <c r="H5" s="14" t="s">
        <v>3</v>
      </c>
      <c r="I5" s="14">
        <v>4</v>
      </c>
      <c r="J5" s="14" t="s">
        <v>3</v>
      </c>
      <c r="K5" s="14">
        <v>7</v>
      </c>
      <c r="L5" s="14" t="s">
        <v>3</v>
      </c>
      <c r="M5" s="14">
        <v>6</v>
      </c>
      <c r="N5" s="14" t="s">
        <v>3</v>
      </c>
      <c r="O5" s="14">
        <v>7</v>
      </c>
      <c r="P5" s="14" t="s">
        <v>3</v>
      </c>
      <c r="Q5" s="14">
        <v>8</v>
      </c>
      <c r="R5" s="14" t="s">
        <v>3</v>
      </c>
      <c r="S5" s="14">
        <v>9</v>
      </c>
      <c r="T5" s="14" t="s">
        <v>3</v>
      </c>
      <c r="U5" s="14">
        <v>10</v>
      </c>
      <c r="V5" s="14" t="s">
        <v>3</v>
      </c>
      <c r="W5" s="14">
        <v>11</v>
      </c>
      <c r="X5" s="14" t="s">
        <v>3</v>
      </c>
      <c r="Y5" s="14">
        <v>12</v>
      </c>
      <c r="Z5" s="14" t="s">
        <v>3</v>
      </c>
      <c r="AA5" s="14">
        <v>13</v>
      </c>
      <c r="AB5" s="14" t="s">
        <v>3</v>
      </c>
      <c r="AC5" s="14" t="s">
        <v>4</v>
      </c>
    </row>
    <row r="6" ht="18.75" spans="1:30">
      <c r="A6" s="14" t="s">
        <v>5</v>
      </c>
      <c r="B6" s="15" t="s">
        <v>6</v>
      </c>
      <c r="C6" s="14" t="s">
        <v>5</v>
      </c>
      <c r="D6" s="14" t="s">
        <v>7</v>
      </c>
      <c r="E6" s="14" t="s">
        <v>5</v>
      </c>
      <c r="F6" s="14" t="s">
        <v>7</v>
      </c>
      <c r="G6" s="14" t="s">
        <v>5</v>
      </c>
      <c r="H6" s="14" t="s">
        <v>7</v>
      </c>
      <c r="I6" s="14" t="s">
        <v>5</v>
      </c>
      <c r="J6" s="14" t="s">
        <v>7</v>
      </c>
      <c r="K6" s="14" t="s">
        <v>5</v>
      </c>
      <c r="L6" s="14" t="s">
        <v>7</v>
      </c>
      <c r="M6" s="14" t="s">
        <v>5</v>
      </c>
      <c r="N6" s="14" t="s">
        <v>7</v>
      </c>
      <c r="O6" s="14" t="s">
        <v>5</v>
      </c>
      <c r="P6" s="14" t="s">
        <v>7</v>
      </c>
      <c r="Q6" s="14" t="s">
        <v>5</v>
      </c>
      <c r="R6" s="14" t="s">
        <v>7</v>
      </c>
      <c r="S6" s="14" t="s">
        <v>5</v>
      </c>
      <c r="T6" s="14" t="s">
        <v>7</v>
      </c>
      <c r="U6" s="14" t="s">
        <v>5</v>
      </c>
      <c r="V6" s="14" t="s">
        <v>7</v>
      </c>
      <c r="W6" s="14" t="s">
        <v>5</v>
      </c>
      <c r="X6" s="14" t="s">
        <v>7</v>
      </c>
      <c r="Y6" s="14" t="s">
        <v>5</v>
      </c>
      <c r="Z6" s="14" t="s">
        <v>7</v>
      </c>
      <c r="AA6" s="14" t="s">
        <v>5</v>
      </c>
      <c r="AB6" s="14" t="s">
        <v>7</v>
      </c>
      <c r="AC6" s="14" t="s">
        <v>7</v>
      </c>
    </row>
    <row r="7" ht="18.75" spans="1:30">
      <c r="A7" s="16">
        <v>1</v>
      </c>
      <c r="B7" s="17" t="s">
        <v>8</v>
      </c>
      <c r="C7" s="18"/>
      <c r="D7" s="19"/>
      <c r="E7" s="20"/>
      <c r="F7" s="19"/>
      <c r="G7" s="21"/>
      <c r="H7" s="19"/>
      <c r="I7" s="22"/>
      <c r="J7" s="19"/>
      <c r="K7" s="23"/>
      <c r="L7" s="19"/>
      <c r="M7" s="24"/>
      <c r="N7" s="19"/>
      <c r="O7" s="18"/>
      <c r="P7" s="19"/>
      <c r="Q7" s="18"/>
      <c r="R7" s="19"/>
      <c r="S7" s="20"/>
      <c r="T7" s="19"/>
      <c r="U7" s="21"/>
      <c r="V7" s="19"/>
      <c r="W7" s="22"/>
      <c r="X7" s="19"/>
      <c r="Y7" s="23"/>
      <c r="Z7" s="19"/>
      <c r="AA7" s="24"/>
      <c r="AB7" s="19"/>
      <c r="AC7" s="25">
        <f t="shared" ref="AC7:AC20" si="0">D7+F7+H7+J7+L7+N7+P7+R7+T7+V7+X7+Z7+AB7</f>
        <v>0</v>
      </c>
    </row>
    <row r="8" ht="18.75" spans="1:30">
      <c r="A8" s="16">
        <v>2</v>
      </c>
      <c r="B8" s="17" t="s">
        <v>9</v>
      </c>
      <c r="C8" s="26"/>
      <c r="D8" s="19"/>
      <c r="E8" s="20"/>
      <c r="F8" s="19"/>
      <c r="G8" s="18"/>
      <c r="H8" s="19"/>
      <c r="I8" s="22"/>
      <c r="J8" s="19"/>
      <c r="K8" s="23"/>
      <c r="L8" s="19"/>
      <c r="M8" s="18"/>
      <c r="N8" s="19"/>
      <c r="O8" s="26"/>
      <c r="P8" s="19"/>
      <c r="Q8" s="26"/>
      <c r="R8" s="19"/>
      <c r="S8" s="20"/>
      <c r="T8" s="19"/>
      <c r="U8" s="18"/>
      <c r="V8" s="19"/>
      <c r="W8" s="22"/>
      <c r="X8" s="19"/>
      <c r="Y8" s="23"/>
      <c r="Z8" s="19"/>
      <c r="AA8" s="18"/>
      <c r="AB8" s="19"/>
      <c r="AC8" s="25">
        <f t="shared" si="0"/>
        <v>0</v>
      </c>
    </row>
    <row r="9" ht="18.75" spans="1:30">
      <c r="A9" s="16">
        <v>3</v>
      </c>
      <c r="B9" s="17" t="s">
        <v>10</v>
      </c>
      <c r="C9" s="26"/>
      <c r="D9" s="19"/>
      <c r="E9" s="20"/>
      <c r="F9" s="19"/>
      <c r="G9" s="26"/>
      <c r="H9" s="19"/>
      <c r="I9" s="22"/>
      <c r="J9" s="19"/>
      <c r="K9" s="18"/>
      <c r="L9" s="19"/>
      <c r="M9" s="21"/>
      <c r="N9" s="19"/>
      <c r="O9" s="26"/>
      <c r="P9" s="19"/>
      <c r="Q9" s="26"/>
      <c r="R9" s="19"/>
      <c r="S9" s="20"/>
      <c r="T9" s="19"/>
      <c r="U9" s="26"/>
      <c r="V9" s="19"/>
      <c r="W9" s="22"/>
      <c r="X9" s="19"/>
      <c r="Y9" s="18"/>
      <c r="Z9" s="19"/>
      <c r="AA9" s="21"/>
      <c r="AB9" s="19"/>
      <c r="AC9" s="25">
        <f t="shared" si="0"/>
        <v>0</v>
      </c>
    </row>
    <row r="10" ht="18.75" spans="1:30">
      <c r="A10" s="16">
        <v>4</v>
      </c>
      <c r="B10" s="17" t="s">
        <v>11</v>
      </c>
      <c r="C10" s="26"/>
      <c r="D10" s="19"/>
      <c r="E10" s="18"/>
      <c r="F10" s="19"/>
      <c r="G10" s="26"/>
      <c r="H10" s="19"/>
      <c r="I10" s="24"/>
      <c r="J10" s="19"/>
      <c r="K10" s="27"/>
      <c r="L10" s="19"/>
      <c r="M10" s="20"/>
      <c r="N10" s="19"/>
      <c r="O10" s="26"/>
      <c r="P10" s="19"/>
      <c r="Q10" s="26"/>
      <c r="R10" s="19"/>
      <c r="S10" s="18"/>
      <c r="T10" s="19"/>
      <c r="U10" s="26"/>
      <c r="V10" s="19"/>
      <c r="W10" s="28"/>
      <c r="X10" s="19"/>
      <c r="Y10" s="27"/>
      <c r="Z10" s="19"/>
      <c r="AA10" s="20"/>
      <c r="AB10" s="19"/>
      <c r="AC10" s="25">
        <f t="shared" si="0"/>
        <v>0</v>
      </c>
    </row>
    <row r="11" ht="18.75" spans="1:30">
      <c r="A11" s="16">
        <v>5</v>
      </c>
      <c r="B11" s="17" t="s">
        <v>12</v>
      </c>
      <c r="C11" s="26"/>
      <c r="D11" s="19"/>
      <c r="E11" s="15"/>
      <c r="F11" s="19"/>
      <c r="G11" s="26"/>
      <c r="H11" s="19"/>
      <c r="I11" s="18"/>
      <c r="J11" s="19"/>
      <c r="K11" s="27"/>
      <c r="L11" s="19"/>
      <c r="M11" s="20"/>
      <c r="N11" s="19"/>
      <c r="O11" s="24"/>
      <c r="P11" s="19"/>
      <c r="Q11" s="26"/>
      <c r="R11" s="19"/>
      <c r="S11" s="15"/>
      <c r="T11" s="19"/>
      <c r="U11" s="26"/>
      <c r="V11" s="19"/>
      <c r="W11" s="18"/>
      <c r="X11" s="19"/>
      <c r="Y11" s="27"/>
      <c r="Z11" s="19"/>
      <c r="AA11" s="20"/>
      <c r="AB11" s="19"/>
      <c r="AC11" s="25">
        <f t="shared" si="0"/>
        <v>0</v>
      </c>
    </row>
    <row r="12" ht="18.75" spans="1:30">
      <c r="A12" s="16">
        <v>6</v>
      </c>
      <c r="B12" s="17" t="s">
        <v>13</v>
      </c>
      <c r="C12" s="20"/>
      <c r="D12" s="19"/>
      <c r="E12" s="15"/>
      <c r="F12" s="19"/>
      <c r="G12" s="26"/>
      <c r="H12" s="19"/>
      <c r="I12" s="15"/>
      <c r="J12" s="19"/>
      <c r="K12" s="29"/>
      <c r="L12" s="19"/>
      <c r="M12" s="30"/>
      <c r="N12" s="19"/>
      <c r="O12" s="18"/>
      <c r="P12" s="19"/>
      <c r="Q12" s="20"/>
      <c r="R12" s="19"/>
      <c r="S12" s="15"/>
      <c r="T12" s="19"/>
      <c r="U12" s="26"/>
      <c r="V12" s="19"/>
      <c r="W12" s="15"/>
      <c r="X12" s="19"/>
      <c r="Y12" s="29"/>
      <c r="Z12" s="19"/>
      <c r="AA12" s="30"/>
      <c r="AB12" s="19"/>
      <c r="AC12" s="25">
        <f t="shared" si="0"/>
        <v>0</v>
      </c>
    </row>
    <row r="13" ht="18.75" spans="1:30">
      <c r="A13" s="16">
        <v>7</v>
      </c>
      <c r="B13" s="17" t="s">
        <v>14</v>
      </c>
      <c r="C13" s="23"/>
      <c r="D13" s="19"/>
      <c r="E13" s="15"/>
      <c r="F13" s="19"/>
      <c r="G13" s="20"/>
      <c r="H13" s="19"/>
      <c r="I13" s="15"/>
      <c r="J13" s="19"/>
      <c r="K13" s="29"/>
      <c r="L13" s="19"/>
      <c r="M13" s="30"/>
      <c r="N13" s="19"/>
      <c r="O13" s="27"/>
      <c r="P13" s="19"/>
      <c r="Q13" s="23"/>
      <c r="R13" s="19"/>
      <c r="S13" s="15"/>
      <c r="T13" s="19"/>
      <c r="U13" s="20"/>
      <c r="V13" s="19"/>
      <c r="W13" s="15"/>
      <c r="X13" s="19"/>
      <c r="Y13" s="29"/>
      <c r="Z13" s="19"/>
      <c r="AA13" s="30"/>
      <c r="AB13" s="19"/>
      <c r="AC13" s="25">
        <f t="shared" si="0"/>
        <v>0</v>
      </c>
    </row>
    <row r="14" ht="18.75" spans="1:30">
      <c r="A14" s="16">
        <v>8</v>
      </c>
      <c r="B14" s="17" t="s">
        <v>15</v>
      </c>
      <c r="C14" s="23"/>
      <c r="D14" s="19"/>
      <c r="E14" s="15"/>
      <c r="F14" s="19"/>
      <c r="G14" s="20"/>
      <c r="H14" s="19"/>
      <c r="I14" s="15"/>
      <c r="J14" s="19"/>
      <c r="K14" s="29"/>
      <c r="L14" s="19"/>
      <c r="M14" s="18"/>
      <c r="N14" s="19"/>
      <c r="O14" s="27"/>
      <c r="P14" s="19"/>
      <c r="Q14" s="23"/>
      <c r="R14" s="19"/>
      <c r="S14" s="15"/>
      <c r="T14" s="19"/>
      <c r="U14" s="20"/>
      <c r="V14" s="19"/>
      <c r="W14" s="15"/>
      <c r="X14" s="19"/>
      <c r="Y14" s="29"/>
      <c r="Z14" s="19"/>
      <c r="AA14" s="18"/>
      <c r="AB14" s="19"/>
      <c r="AC14" s="25">
        <f t="shared" si="0"/>
        <v>0</v>
      </c>
    </row>
    <row r="15" ht="18.75" spans="1:30">
      <c r="A15" s="16">
        <v>9</v>
      </c>
      <c r="B15" s="17" t="s">
        <v>16</v>
      </c>
      <c r="C15" s="23"/>
      <c r="D15" s="19"/>
      <c r="E15" s="15"/>
      <c r="F15" s="19"/>
      <c r="G15" s="18"/>
      <c r="H15" s="19"/>
      <c r="I15" s="27"/>
      <c r="J15" s="19"/>
      <c r="K15" s="29"/>
      <c r="L15" s="19"/>
      <c r="M15" s="26"/>
      <c r="N15" s="19"/>
      <c r="O15" s="27"/>
      <c r="P15" s="19"/>
      <c r="Q15" s="23"/>
      <c r="R15" s="19"/>
      <c r="S15" s="15"/>
      <c r="T15" s="19"/>
      <c r="U15" s="18"/>
      <c r="V15" s="19"/>
      <c r="W15" s="27"/>
      <c r="X15" s="19"/>
      <c r="Y15" s="29"/>
      <c r="Z15" s="19"/>
      <c r="AA15" s="26"/>
      <c r="AB15" s="19"/>
      <c r="AC15" s="25">
        <f t="shared" si="0"/>
        <v>0</v>
      </c>
    </row>
    <row r="16" ht="18.75" spans="1:30">
      <c r="A16" s="16">
        <v>10</v>
      </c>
      <c r="B16" s="17" t="s">
        <v>17</v>
      </c>
      <c r="C16" s="27"/>
      <c r="D16" s="19"/>
      <c r="E16" s="22"/>
      <c r="F16" s="19"/>
      <c r="G16" s="29"/>
      <c r="H16" s="19"/>
      <c r="I16" s="27"/>
      <c r="J16" s="19"/>
      <c r="K16" s="18"/>
      <c r="L16" s="19"/>
      <c r="M16" s="26"/>
      <c r="N16" s="19"/>
      <c r="O16" s="27"/>
      <c r="P16" s="19"/>
      <c r="Q16" s="27"/>
      <c r="R16" s="19"/>
      <c r="S16" s="22"/>
      <c r="T16" s="19"/>
      <c r="U16" s="29"/>
      <c r="V16" s="19"/>
      <c r="W16" s="27"/>
      <c r="X16" s="19"/>
      <c r="Y16" s="18"/>
      <c r="Z16" s="19"/>
      <c r="AA16" s="26"/>
      <c r="AB16" s="19"/>
      <c r="AC16" s="25">
        <f t="shared" si="0"/>
        <v>0</v>
      </c>
    </row>
    <row r="17" ht="18.75" spans="1:29">
      <c r="A17" s="16">
        <v>11</v>
      </c>
      <c r="B17" s="17" t="s">
        <v>18</v>
      </c>
      <c r="C17" s="27"/>
      <c r="D17" s="19"/>
      <c r="E17" s="22"/>
      <c r="F17" s="19"/>
      <c r="G17" s="29"/>
      <c r="H17" s="19"/>
      <c r="I17" s="27"/>
      <c r="J17" s="19"/>
      <c r="K17" s="31"/>
      <c r="L17" s="19"/>
      <c r="M17" s="26"/>
      <c r="N17" s="19"/>
      <c r="O17" s="21"/>
      <c r="P17" s="19"/>
      <c r="Q17" s="27"/>
      <c r="R17" s="19"/>
      <c r="S17" s="22"/>
      <c r="T17" s="19"/>
      <c r="U17" s="29"/>
      <c r="V17" s="19"/>
      <c r="W17" s="27"/>
      <c r="X17" s="19"/>
      <c r="Y17" s="31"/>
      <c r="Z17" s="19"/>
      <c r="AA17" s="26"/>
      <c r="AB17" s="19"/>
      <c r="AC17" s="25">
        <f t="shared" si="0"/>
        <v>0</v>
      </c>
    </row>
    <row r="18" ht="18.75" spans="1:29">
      <c r="A18" s="16">
        <v>12</v>
      </c>
      <c r="B18" s="17" t="s">
        <v>19</v>
      </c>
      <c r="C18" s="27"/>
      <c r="D18" s="19"/>
      <c r="E18" s="18"/>
      <c r="F18" s="19"/>
      <c r="G18" s="29"/>
      <c r="H18" s="19"/>
      <c r="I18" s="27"/>
      <c r="J18" s="19"/>
      <c r="K18" s="31"/>
      <c r="L18" s="19"/>
      <c r="M18" s="32"/>
      <c r="N18" s="19"/>
      <c r="O18" s="21"/>
      <c r="P18" s="19"/>
      <c r="Q18" s="27"/>
      <c r="R18" s="19"/>
      <c r="S18" s="18"/>
      <c r="T18" s="19"/>
      <c r="U18" s="29"/>
      <c r="V18" s="19"/>
      <c r="W18" s="27"/>
      <c r="X18" s="19"/>
      <c r="Y18" s="31"/>
      <c r="Z18" s="19"/>
      <c r="AA18" s="32"/>
      <c r="AB18" s="19"/>
      <c r="AC18" s="25">
        <f t="shared" si="0"/>
        <v>0</v>
      </c>
    </row>
    <row r="19" ht="18.75" spans="1:29">
      <c r="A19" s="16">
        <v>13</v>
      </c>
      <c r="B19" s="17" t="s">
        <v>20</v>
      </c>
      <c r="C19" s="15"/>
      <c r="D19" s="19"/>
      <c r="E19" s="23"/>
      <c r="F19" s="19"/>
      <c r="G19" s="32"/>
      <c r="H19" s="19"/>
      <c r="I19" s="18"/>
      <c r="J19" s="19"/>
      <c r="K19" s="20"/>
      <c r="L19" s="19"/>
      <c r="M19" s="32"/>
      <c r="N19" s="19"/>
      <c r="O19" s="22"/>
      <c r="P19" s="19"/>
      <c r="Q19" s="15"/>
      <c r="R19" s="19"/>
      <c r="S19" s="23"/>
      <c r="T19" s="19"/>
      <c r="U19" s="32"/>
      <c r="V19" s="19"/>
      <c r="W19" s="18"/>
      <c r="X19" s="19"/>
      <c r="Y19" s="20"/>
      <c r="Z19" s="19"/>
      <c r="AA19" s="32"/>
      <c r="AB19" s="19"/>
      <c r="AC19" s="25">
        <f t="shared" si="0"/>
        <v>0</v>
      </c>
    </row>
    <row r="20" ht="18.75" spans="1:29">
      <c r="A20" s="16">
        <v>14</v>
      </c>
      <c r="B20" s="17" t="s">
        <v>21</v>
      </c>
      <c r="C20" s="15"/>
      <c r="D20" s="19"/>
      <c r="E20" s="23"/>
      <c r="F20" s="19"/>
      <c r="G20" s="32"/>
      <c r="H20" s="19"/>
      <c r="I20" s="18"/>
      <c r="J20" s="19"/>
      <c r="K20" s="20"/>
      <c r="L20" s="19"/>
      <c r="M20" s="18"/>
      <c r="N20" s="19"/>
      <c r="O20" s="22"/>
      <c r="P20" s="19"/>
      <c r="Q20" s="15"/>
      <c r="R20" s="19"/>
      <c r="S20" s="23"/>
      <c r="T20" s="19"/>
      <c r="U20" s="32"/>
      <c r="V20" s="19"/>
      <c r="W20" s="18"/>
      <c r="X20" s="19"/>
      <c r="Y20" s="20"/>
      <c r="Z20" s="19"/>
      <c r="AA20" s="18"/>
      <c r="AB20" s="19"/>
      <c r="AC20" s="25">
        <f t="shared" si="0"/>
        <v>0</v>
      </c>
    </row>
    <row r="21" ht="18.75" spans="1:29">
      <c r="A21" s="16">
        <v>15</v>
      </c>
      <c r="B21" s="17" t="s">
        <v>22</v>
      </c>
      <c r="C21" s="15"/>
      <c r="D21" s="19"/>
      <c r="E21" s="26"/>
      <c r="F21" s="19"/>
      <c r="G21" s="32"/>
      <c r="H21" s="19"/>
      <c r="I21" s="18"/>
      <c r="J21" s="19"/>
      <c r="K21" s="20"/>
      <c r="L21" s="19"/>
      <c r="M21" s="15"/>
      <c r="N21" s="19"/>
      <c r="O21" s="22"/>
      <c r="P21" s="19"/>
      <c r="Q21" s="15"/>
      <c r="R21" s="19"/>
      <c r="S21" s="26"/>
      <c r="T21" s="19"/>
      <c r="U21" s="32"/>
      <c r="V21" s="19"/>
      <c r="W21" s="18"/>
      <c r="X21" s="19"/>
      <c r="Y21" s="20"/>
      <c r="Z21" s="19"/>
      <c r="AA21" s="15"/>
      <c r="AB21" s="19"/>
      <c r="AC21" s="25">
        <f t="shared" ref="AC21:AC38" si="1">D21+F21+H21+J21+L21+N21+P21+R21+T21+V21+X21+Z21+AB21</f>
        <v>0</v>
      </c>
    </row>
    <row r="22" ht="18.75" spans="1:29">
      <c r="A22" s="16">
        <v>16</v>
      </c>
      <c r="B22" s="17" t="s">
        <v>23</v>
      </c>
      <c r="C22" s="15"/>
      <c r="D22" s="19"/>
      <c r="E22" s="26"/>
      <c r="F22" s="19"/>
      <c r="G22" s="32"/>
      <c r="H22" s="19"/>
      <c r="I22" s="24"/>
      <c r="J22" s="19"/>
      <c r="K22" s="20"/>
      <c r="L22" s="19"/>
      <c r="M22" s="15"/>
      <c r="N22" s="19"/>
      <c r="O22" s="22"/>
      <c r="P22" s="19"/>
      <c r="Q22" s="15"/>
      <c r="R22" s="19"/>
      <c r="S22" s="26"/>
      <c r="T22" s="19"/>
      <c r="U22" s="32"/>
      <c r="V22" s="19"/>
      <c r="W22" s="24"/>
      <c r="X22" s="19"/>
      <c r="Y22" s="20"/>
      <c r="Z22" s="19"/>
      <c r="AA22" s="15"/>
      <c r="AB22" s="19"/>
      <c r="AC22" s="25">
        <f t="shared" si="1"/>
        <v>0</v>
      </c>
    </row>
    <row r="23" ht="18.75" spans="1:29">
      <c r="A23" s="16">
        <v>17</v>
      </c>
      <c r="B23" s="17" t="s">
        <v>24</v>
      </c>
      <c r="C23" s="33"/>
      <c r="D23" s="19"/>
      <c r="E23" s="26"/>
      <c r="F23" s="19"/>
      <c r="G23" s="20"/>
      <c r="H23" s="19"/>
      <c r="I23" s="21"/>
      <c r="J23" s="19"/>
      <c r="K23" s="18"/>
      <c r="L23" s="19"/>
      <c r="M23" s="15"/>
      <c r="N23" s="19"/>
      <c r="O23" s="34"/>
      <c r="P23" s="19"/>
      <c r="Q23" s="33"/>
      <c r="R23" s="19"/>
      <c r="S23" s="26"/>
      <c r="T23" s="19"/>
      <c r="U23" s="20"/>
      <c r="V23" s="19"/>
      <c r="W23" s="21"/>
      <c r="X23" s="19"/>
      <c r="Y23" s="18"/>
      <c r="Z23" s="19"/>
      <c r="AA23" s="15"/>
      <c r="AB23" s="19"/>
      <c r="AC23" s="25">
        <f t="shared" si="1"/>
        <v>0</v>
      </c>
    </row>
    <row r="24" ht="18.75" spans="1:29">
      <c r="A24" s="16">
        <v>18</v>
      </c>
      <c r="B24" s="17" t="s">
        <v>25</v>
      </c>
      <c r="C24" s="22"/>
      <c r="D24" s="19"/>
      <c r="E24" s="27"/>
      <c r="F24" s="19"/>
      <c r="G24" s="20"/>
      <c r="H24" s="19"/>
      <c r="I24" s="29"/>
      <c r="J24" s="19"/>
      <c r="K24" s="26"/>
      <c r="L24" s="19"/>
      <c r="M24" s="35"/>
      <c r="N24" s="19"/>
      <c r="O24" s="34"/>
      <c r="P24" s="19"/>
      <c r="Q24" s="22"/>
      <c r="R24" s="19"/>
      <c r="S24" s="27"/>
      <c r="T24" s="19"/>
      <c r="U24" s="20"/>
      <c r="V24" s="19"/>
      <c r="W24" s="29"/>
      <c r="X24" s="19"/>
      <c r="Y24" s="26"/>
      <c r="Z24" s="19"/>
      <c r="AA24" s="15"/>
      <c r="AB24" s="19"/>
      <c r="AC24" s="25">
        <f t="shared" si="1"/>
        <v>0</v>
      </c>
    </row>
    <row r="25" ht="18.75" spans="1:29">
      <c r="A25" s="16">
        <v>19</v>
      </c>
      <c r="B25" s="17" t="s">
        <v>26</v>
      </c>
      <c r="C25" s="22"/>
      <c r="D25" s="19"/>
      <c r="E25" s="27"/>
      <c r="F25" s="19"/>
      <c r="G25" s="18"/>
      <c r="H25" s="19"/>
      <c r="I25" s="29"/>
      <c r="J25" s="19"/>
      <c r="K25" s="26"/>
      <c r="L25" s="19"/>
      <c r="M25" s="21"/>
      <c r="N25" s="19"/>
      <c r="O25" s="34"/>
      <c r="P25" s="19"/>
      <c r="Q25" s="22"/>
      <c r="R25" s="19"/>
      <c r="S25" s="27"/>
      <c r="T25" s="19"/>
      <c r="U25" s="18"/>
      <c r="V25" s="19"/>
      <c r="W25" s="29"/>
      <c r="X25" s="19"/>
      <c r="Y25" s="26"/>
      <c r="Z25" s="19"/>
      <c r="AA25" s="21"/>
      <c r="AB25" s="19"/>
      <c r="AC25" s="25">
        <f t="shared" si="1"/>
        <v>0</v>
      </c>
    </row>
    <row r="26" ht="18.75" spans="1:29">
      <c r="A26" s="16">
        <v>20</v>
      </c>
      <c r="B26" s="17" t="s">
        <v>27</v>
      </c>
      <c r="C26" s="22"/>
      <c r="D26" s="19"/>
      <c r="E26" s="27"/>
      <c r="F26" s="19"/>
      <c r="G26" s="15"/>
      <c r="H26" s="19"/>
      <c r="I26" s="29"/>
      <c r="J26" s="19"/>
      <c r="K26" s="26"/>
      <c r="L26" s="19"/>
      <c r="M26" s="21"/>
      <c r="N26" s="19"/>
      <c r="O26" s="20"/>
      <c r="P26" s="19"/>
      <c r="Q26" s="22"/>
      <c r="R26" s="19"/>
      <c r="S26" s="27"/>
      <c r="T26" s="19"/>
      <c r="U26" s="15"/>
      <c r="V26" s="19"/>
      <c r="W26" s="29"/>
      <c r="X26" s="19"/>
      <c r="Y26" s="26"/>
      <c r="Z26" s="19"/>
      <c r="AA26" s="21"/>
      <c r="AB26" s="19"/>
      <c r="AC26" s="25">
        <f t="shared" si="1"/>
        <v>0</v>
      </c>
    </row>
    <row r="27" ht="18.75" spans="1:29">
      <c r="A27" s="16">
        <v>21</v>
      </c>
      <c r="B27" s="17" t="s">
        <v>28</v>
      </c>
      <c r="C27" s="31"/>
      <c r="D27" s="19"/>
      <c r="E27" s="27"/>
      <c r="F27" s="19"/>
      <c r="G27" s="15"/>
      <c r="H27" s="19"/>
      <c r="I27" s="32"/>
      <c r="J27" s="19"/>
      <c r="K27" s="26"/>
      <c r="L27" s="19"/>
      <c r="M27" s="18"/>
      <c r="N27" s="19"/>
      <c r="O27" s="20"/>
      <c r="P27" s="19"/>
      <c r="Q27" s="31"/>
      <c r="R27" s="19"/>
      <c r="S27" s="27"/>
      <c r="T27" s="19"/>
      <c r="U27" s="15"/>
      <c r="V27" s="19"/>
      <c r="W27" s="32"/>
      <c r="X27" s="19"/>
      <c r="Y27" s="26"/>
      <c r="Z27" s="19"/>
      <c r="AA27" s="18"/>
      <c r="AB27" s="19"/>
      <c r="AC27" s="25">
        <f t="shared" si="1"/>
        <v>0</v>
      </c>
    </row>
    <row r="28" ht="18.75" spans="1:29">
      <c r="A28" s="16">
        <v>22</v>
      </c>
      <c r="B28" s="17" t="s">
        <v>29</v>
      </c>
      <c r="C28" s="31"/>
      <c r="D28" s="19"/>
      <c r="E28" s="18"/>
      <c r="F28" s="19"/>
      <c r="G28" s="15"/>
      <c r="H28" s="19"/>
      <c r="I28" s="32"/>
      <c r="J28" s="19"/>
      <c r="K28" s="15"/>
      <c r="L28" s="19"/>
      <c r="M28" s="18"/>
      <c r="N28" s="19"/>
      <c r="O28" s="20"/>
      <c r="P28" s="19"/>
      <c r="Q28" s="31"/>
      <c r="R28" s="19"/>
      <c r="S28" s="18"/>
      <c r="T28" s="19"/>
      <c r="U28" s="15"/>
      <c r="V28" s="19"/>
      <c r="W28" s="32"/>
      <c r="X28" s="19"/>
      <c r="Y28" s="15"/>
      <c r="Z28" s="19"/>
      <c r="AA28" s="18"/>
      <c r="AB28" s="19"/>
      <c r="AC28" s="25">
        <f t="shared" si="1"/>
        <v>0</v>
      </c>
    </row>
    <row r="29" ht="18.75" spans="1:29">
      <c r="A29" s="16">
        <v>23</v>
      </c>
      <c r="B29" s="17" t="s">
        <v>30</v>
      </c>
      <c r="C29" s="31"/>
      <c r="D29" s="19"/>
      <c r="E29" s="18"/>
      <c r="F29" s="19"/>
      <c r="G29" s="15"/>
      <c r="H29" s="19"/>
      <c r="I29" s="32"/>
      <c r="J29" s="19"/>
      <c r="K29" s="15"/>
      <c r="L29" s="19"/>
      <c r="M29" s="18"/>
      <c r="N29" s="19"/>
      <c r="O29" s="18"/>
      <c r="P29" s="19"/>
      <c r="Q29" s="31"/>
      <c r="R29" s="19"/>
      <c r="S29" s="18"/>
      <c r="T29" s="19"/>
      <c r="U29" s="15"/>
      <c r="V29" s="19"/>
      <c r="W29" s="32"/>
      <c r="X29" s="19"/>
      <c r="Y29" s="15"/>
      <c r="Z29" s="19"/>
      <c r="AA29" s="18"/>
      <c r="AB29" s="19"/>
      <c r="AC29" s="25">
        <f t="shared" si="1"/>
        <v>0</v>
      </c>
    </row>
    <row r="30" ht="18.75" spans="1:29">
      <c r="A30" s="16">
        <v>24</v>
      </c>
      <c r="B30" s="17" t="s">
        <v>31</v>
      </c>
      <c r="C30" s="29"/>
      <c r="D30" s="19"/>
      <c r="E30" s="18"/>
      <c r="F30" s="19"/>
      <c r="G30" s="15"/>
      <c r="H30" s="19"/>
      <c r="I30" s="32"/>
      <c r="J30" s="19"/>
      <c r="K30" s="15"/>
      <c r="L30" s="19"/>
      <c r="M30" s="21"/>
      <c r="N30" s="19"/>
      <c r="O30" s="18"/>
      <c r="P30" s="19"/>
      <c r="Q30" s="29"/>
      <c r="R30" s="19"/>
      <c r="S30" s="18"/>
      <c r="T30" s="19"/>
      <c r="U30" s="15"/>
      <c r="V30" s="19"/>
      <c r="W30" s="32"/>
      <c r="X30" s="19"/>
      <c r="Y30" s="15"/>
      <c r="Z30" s="19"/>
      <c r="AA30" s="21"/>
      <c r="AB30" s="19"/>
      <c r="AC30" s="25">
        <f t="shared" si="1"/>
        <v>0</v>
      </c>
    </row>
    <row r="31" ht="18.75" spans="1:29">
      <c r="A31" s="16">
        <v>26</v>
      </c>
      <c r="B31" s="19" t="s">
        <v>32</v>
      </c>
      <c r="C31" s="29"/>
      <c r="D31" s="19"/>
      <c r="E31" s="21"/>
      <c r="F31" s="19"/>
      <c r="G31" s="22"/>
      <c r="H31" s="19"/>
      <c r="I31" s="32"/>
      <c r="J31" s="19"/>
      <c r="K31" s="15"/>
      <c r="L31" s="19"/>
      <c r="M31" s="21"/>
      <c r="N31" s="19"/>
      <c r="O31" s="18"/>
      <c r="P31" s="19"/>
      <c r="Q31" s="29"/>
      <c r="R31" s="19"/>
      <c r="S31" s="21"/>
      <c r="T31" s="19"/>
      <c r="U31" s="22"/>
      <c r="V31" s="19"/>
      <c r="W31" s="32"/>
      <c r="X31" s="19"/>
      <c r="Y31" s="15"/>
      <c r="Z31" s="19"/>
      <c r="AA31" s="21"/>
      <c r="AB31" s="19"/>
      <c r="AC31" s="25">
        <f t="shared" si="1"/>
        <v>0</v>
      </c>
    </row>
    <row r="32" ht="18.75" spans="1:29">
      <c r="A32" s="16">
        <v>27</v>
      </c>
      <c r="B32" s="19" t="s">
        <v>33</v>
      </c>
      <c r="C32" s="29"/>
      <c r="D32" s="19"/>
      <c r="E32" s="31"/>
      <c r="F32" s="19"/>
      <c r="G32" s="22"/>
      <c r="H32" s="19"/>
      <c r="I32" s="18"/>
      <c r="J32" s="19"/>
      <c r="K32" s="24"/>
      <c r="L32" s="19"/>
      <c r="M32" s="29"/>
      <c r="N32" s="19"/>
      <c r="O32" s="18"/>
      <c r="P32" s="19"/>
      <c r="Q32" s="29"/>
      <c r="R32" s="19"/>
      <c r="S32" s="31"/>
      <c r="T32" s="19"/>
      <c r="U32" s="22"/>
      <c r="V32" s="19"/>
      <c r="W32" s="18"/>
      <c r="X32" s="19"/>
      <c r="Y32" s="24"/>
      <c r="Z32" s="19"/>
      <c r="AA32" s="29"/>
      <c r="AB32" s="19"/>
      <c r="AC32" s="25">
        <f t="shared" si="1"/>
        <v>0</v>
      </c>
    </row>
    <row r="33" ht="18.75" spans="1:29">
      <c r="A33" s="16">
        <v>28</v>
      </c>
      <c r="B33" s="19" t="s">
        <v>34</v>
      </c>
      <c r="C33" s="18"/>
      <c r="D33" s="19"/>
      <c r="E33" s="31"/>
      <c r="F33" s="19"/>
      <c r="G33" s="22"/>
      <c r="H33" s="19"/>
      <c r="I33" s="26"/>
      <c r="J33" s="19"/>
      <c r="K33" s="18"/>
      <c r="L33" s="19"/>
      <c r="M33" s="29"/>
      <c r="N33" s="19"/>
      <c r="O33" s="21"/>
      <c r="P33" s="19"/>
      <c r="Q33" s="18"/>
      <c r="R33" s="19"/>
      <c r="S33" s="31"/>
      <c r="T33" s="19"/>
      <c r="U33" s="22"/>
      <c r="V33" s="19"/>
      <c r="W33" s="26"/>
      <c r="X33" s="19"/>
      <c r="Y33" s="18"/>
      <c r="Z33" s="19"/>
      <c r="AA33" s="29"/>
      <c r="AB33" s="19"/>
      <c r="AC33" s="25">
        <f t="shared" si="1"/>
        <v>0</v>
      </c>
    </row>
    <row r="34" ht="18.75" spans="1:29">
      <c r="A34" s="16">
        <v>29</v>
      </c>
      <c r="B34" s="19" t="s">
        <v>35</v>
      </c>
      <c r="C34" s="32"/>
      <c r="D34" s="19"/>
      <c r="E34" s="31"/>
      <c r="F34" s="19"/>
      <c r="G34" s="27"/>
      <c r="H34" s="19"/>
      <c r="I34" s="26"/>
      <c r="J34" s="19"/>
      <c r="K34" s="18"/>
      <c r="L34" s="19"/>
      <c r="M34" s="29"/>
      <c r="N34" s="19"/>
      <c r="O34" s="21"/>
      <c r="P34" s="19"/>
      <c r="Q34" s="32"/>
      <c r="R34" s="19"/>
      <c r="S34" s="31"/>
      <c r="T34" s="19"/>
      <c r="U34" s="27"/>
      <c r="V34" s="19"/>
      <c r="W34" s="26"/>
      <c r="X34" s="19"/>
      <c r="Y34" s="18"/>
      <c r="Z34" s="19"/>
      <c r="AA34" s="29"/>
      <c r="AB34" s="19"/>
      <c r="AC34" s="25">
        <f t="shared" si="1"/>
        <v>0</v>
      </c>
    </row>
    <row r="35" ht="18.75" spans="1:29">
      <c r="A35" s="16">
        <v>30</v>
      </c>
      <c r="B35" s="19" t="s">
        <v>36</v>
      </c>
      <c r="C35" s="32"/>
      <c r="D35" s="19"/>
      <c r="E35" s="18"/>
      <c r="F35" s="19"/>
      <c r="G35" s="27"/>
      <c r="H35" s="19"/>
      <c r="I35" s="26"/>
      <c r="J35" s="19"/>
      <c r="K35" s="18"/>
      <c r="L35" s="19"/>
      <c r="M35" s="27"/>
      <c r="N35" s="19"/>
      <c r="O35" s="21"/>
      <c r="P35" s="19"/>
      <c r="Q35" s="32"/>
      <c r="R35" s="19"/>
      <c r="S35" s="18"/>
      <c r="T35" s="19"/>
      <c r="U35" s="27"/>
      <c r="V35" s="19"/>
      <c r="W35" s="26"/>
      <c r="X35" s="19"/>
      <c r="Y35" s="18"/>
      <c r="Z35" s="19"/>
      <c r="AA35" s="27"/>
      <c r="AB35" s="19"/>
      <c r="AC35" s="25">
        <f t="shared" si="1"/>
        <v>0</v>
      </c>
    </row>
    <row r="36" ht="18.75" spans="1:29">
      <c r="A36" s="16">
        <v>31</v>
      </c>
      <c r="B36" s="19" t="s">
        <v>37</v>
      </c>
      <c r="C36" s="32"/>
      <c r="D36" s="19"/>
      <c r="E36" s="29"/>
      <c r="F36" s="19"/>
      <c r="G36" s="27"/>
      <c r="H36" s="19"/>
      <c r="I36" s="31"/>
      <c r="J36" s="19"/>
      <c r="K36" s="32"/>
      <c r="L36" s="19"/>
      <c r="M36" s="27"/>
      <c r="N36" s="19"/>
      <c r="O36" s="21"/>
      <c r="P36" s="19"/>
      <c r="Q36" s="32"/>
      <c r="R36" s="19"/>
      <c r="S36" s="29"/>
      <c r="T36" s="19"/>
      <c r="U36" s="27"/>
      <c r="V36" s="19"/>
      <c r="W36" s="31"/>
      <c r="X36" s="19"/>
      <c r="Y36" s="32"/>
      <c r="Z36" s="19"/>
      <c r="AA36" s="27"/>
      <c r="AB36" s="19"/>
      <c r="AC36" s="25">
        <f t="shared" si="1"/>
        <v>0</v>
      </c>
    </row>
    <row r="37" ht="18.75" spans="1:29">
      <c r="A37" s="16">
        <v>32</v>
      </c>
      <c r="B37" s="19" t="s">
        <v>38</v>
      </c>
      <c r="C37" s="23"/>
      <c r="D37" s="19"/>
      <c r="E37" s="29"/>
      <c r="F37" s="19"/>
      <c r="G37" s="27"/>
      <c r="H37" s="19"/>
      <c r="I37" s="31"/>
      <c r="J37" s="19"/>
      <c r="K37" s="32"/>
      <c r="L37" s="19"/>
      <c r="M37" s="27"/>
      <c r="N37" s="19"/>
      <c r="O37" s="29"/>
      <c r="P37" s="19"/>
      <c r="Q37" s="23"/>
      <c r="R37" s="19"/>
      <c r="S37" s="29"/>
      <c r="T37" s="19"/>
      <c r="U37" s="27"/>
      <c r="V37" s="19"/>
      <c r="W37" s="31"/>
      <c r="X37" s="19"/>
      <c r="Y37" s="32"/>
      <c r="Z37" s="19"/>
      <c r="AA37" s="27"/>
      <c r="AB37" s="19"/>
      <c r="AC37" s="25">
        <f t="shared" si="1"/>
        <v>0</v>
      </c>
    </row>
    <row r="38" ht="18.75" spans="1:29">
      <c r="A38" s="16">
        <v>33</v>
      </c>
      <c r="B38" s="19" t="s">
        <v>39</v>
      </c>
      <c r="C38" s="23"/>
      <c r="D38" s="19"/>
      <c r="E38" s="29"/>
      <c r="F38" s="19"/>
      <c r="G38" s="18"/>
      <c r="H38" s="19"/>
      <c r="I38" s="31"/>
      <c r="J38" s="19"/>
      <c r="K38" s="32"/>
      <c r="L38" s="19"/>
      <c r="M38" s="27"/>
      <c r="N38" s="19"/>
      <c r="O38" s="29"/>
      <c r="P38" s="19"/>
      <c r="Q38" s="23"/>
      <c r="R38" s="19"/>
      <c r="S38" s="29"/>
      <c r="T38" s="19"/>
      <c r="U38" s="18"/>
      <c r="V38" s="19"/>
      <c r="W38" s="31"/>
      <c r="X38" s="19"/>
      <c r="Y38" s="32"/>
      <c r="Z38" s="19"/>
      <c r="AA38" s="27"/>
      <c r="AB38" s="19"/>
      <c r="AC38" s="25">
        <f t="shared" si="1"/>
        <v>0</v>
      </c>
    </row>
    <row r="39" ht="18.75" spans="1:29">
      <c r="A39" s="16">
        <v>34</v>
      </c>
      <c r="B39" s="19" t="s">
        <v>40</v>
      </c>
      <c r="C39" s="18"/>
      <c r="D39" s="19"/>
      <c r="E39" s="29"/>
      <c r="F39" s="19"/>
      <c r="G39" s="26"/>
      <c r="H39" s="19"/>
      <c r="I39" s="31"/>
      <c r="J39" s="19"/>
      <c r="K39" s="32"/>
      <c r="L39" s="19"/>
      <c r="M39" s="27"/>
      <c r="N39" s="19"/>
      <c r="O39" s="29"/>
      <c r="P39" s="19"/>
      <c r="Q39" s="18"/>
      <c r="R39" s="19"/>
      <c r="S39" s="29"/>
      <c r="T39" s="19"/>
      <c r="U39" s="26"/>
      <c r="V39" s="19"/>
      <c r="W39" s="31"/>
      <c r="X39" s="19"/>
      <c r="Y39" s="32"/>
      <c r="Z39" s="19"/>
      <c r="AA39" s="27"/>
      <c r="AB39" s="19"/>
      <c r="AC39" s="25">
        <f>D39+F39+H39+J39+L39+N39++P39+R39+T39+V39+X39+Z39+AB39</f>
        <v>0</v>
      </c>
    </row>
    <row r="40" ht="18.75" spans="1:29">
      <c r="B40" s="36"/>
      <c r="AB40" s="37" t="s">
        <v>4</v>
      </c>
      <c r="AC40" s="38">
        <f>AC7++AC8+AC9+AC10+AC11+AC12+AC13++AC14+AC15+AC16+AC17+AC18+AC19+AC20+AC21+AC22+AC23+AC24+AC25+AC26+AC27+AC28+AC29+AC30+AC31+AC32+AC33+AC34+AC35+AC36+AC37+AC38+AC39</f>
        <v>0</v>
      </c>
    </row>
    <row r="41" ht="18.75" spans="1:29">
      <c r="B41" s="36"/>
    </row>
    <row r="42" spans="1:29">
      <c r="A42" s="13"/>
      <c r="B42" s="13"/>
      <c r="C42" s="14" t="s">
        <v>41</v>
      </c>
      <c r="D42" s="14" t="s">
        <v>42</v>
      </c>
      <c r="E42" s="14" t="s">
        <v>43</v>
      </c>
      <c r="F42" s="14" t="s">
        <v>42</v>
      </c>
      <c r="G42" s="14">
        <v>3</v>
      </c>
      <c r="H42" s="14" t="s">
        <v>44</v>
      </c>
      <c r="I42" s="14">
        <v>1</v>
      </c>
      <c r="J42" s="14" t="s">
        <v>44</v>
      </c>
      <c r="K42" s="14"/>
      <c r="L42" s="14" t="s">
        <v>4</v>
      </c>
    </row>
    <row r="43" ht="18.75" spans="1:29">
      <c r="A43" s="14" t="s">
        <v>5</v>
      </c>
      <c r="B43" s="15" t="s">
        <v>6</v>
      </c>
      <c r="C43" s="14" t="s">
        <v>5</v>
      </c>
      <c r="D43" s="14" t="s">
        <v>7</v>
      </c>
      <c r="E43" s="14" t="s">
        <v>5</v>
      </c>
      <c r="F43" s="14" t="s">
        <v>7</v>
      </c>
      <c r="G43" s="14" t="s">
        <v>5</v>
      </c>
      <c r="H43" s="14" t="s">
        <v>7</v>
      </c>
      <c r="I43" s="14" t="s">
        <v>5</v>
      </c>
      <c r="J43" s="14" t="s">
        <v>7</v>
      </c>
      <c r="K43" s="14"/>
      <c r="L43" s="14" t="s">
        <v>7</v>
      </c>
    </row>
    <row r="44" ht="18.75" spans="1:29">
      <c r="A44" s="16">
        <v>1</v>
      </c>
      <c r="B44" s="17" t="s">
        <v>8</v>
      </c>
      <c r="C44" s="39"/>
      <c r="D44" s="25"/>
      <c r="E44" s="40"/>
      <c r="F44" s="25"/>
      <c r="G44" s="41"/>
      <c r="H44" s="25"/>
      <c r="I44" s="42"/>
      <c r="J44" s="25"/>
      <c r="K44" s="25"/>
      <c r="L44" s="25">
        <f t="shared" ref="L44:L76" si="2">D44+F44+H44+J44</f>
        <v>0</v>
      </c>
    </row>
    <row r="45" ht="18.75" spans="1:29">
      <c r="A45" s="16">
        <v>2</v>
      </c>
      <c r="B45" s="17" t="s">
        <v>9</v>
      </c>
      <c r="C45" s="43"/>
      <c r="D45" s="25"/>
      <c r="E45" s="40"/>
      <c r="F45" s="25"/>
      <c r="G45" s="39"/>
      <c r="H45" s="25"/>
      <c r="I45" s="42"/>
      <c r="J45" s="25"/>
      <c r="K45" s="25"/>
      <c r="L45" s="25">
        <f t="shared" si="2"/>
        <v>0</v>
      </c>
    </row>
    <row r="46" ht="18.75" spans="1:29">
      <c r="A46" s="16">
        <v>3</v>
      </c>
      <c r="B46" s="17" t="s">
        <v>10</v>
      </c>
      <c r="C46" s="43"/>
      <c r="D46" s="25"/>
      <c r="E46" s="40"/>
      <c r="F46" s="25"/>
      <c r="G46" s="43"/>
      <c r="H46" s="25"/>
      <c r="I46" s="42"/>
      <c r="J46" s="25"/>
      <c r="K46" s="25"/>
      <c r="L46" s="25">
        <f t="shared" si="2"/>
        <v>0</v>
      </c>
    </row>
    <row r="47" ht="18.75" spans="1:29">
      <c r="A47" s="16">
        <v>4</v>
      </c>
      <c r="B47" s="17" t="s">
        <v>11</v>
      </c>
      <c r="C47" s="43"/>
      <c r="D47" s="25"/>
      <c r="E47" s="39"/>
      <c r="F47" s="25"/>
      <c r="G47" s="43"/>
      <c r="H47" s="25"/>
      <c r="I47" s="44"/>
      <c r="J47" s="25"/>
      <c r="K47" s="25"/>
      <c r="L47" s="25">
        <f t="shared" si="2"/>
        <v>0</v>
      </c>
    </row>
    <row r="48" ht="18.75" spans="1:29">
      <c r="A48" s="16">
        <v>5</v>
      </c>
      <c r="B48" s="17" t="s">
        <v>12</v>
      </c>
      <c r="C48" s="43"/>
      <c r="D48" s="25"/>
      <c r="E48" s="14"/>
      <c r="F48" s="25"/>
      <c r="G48" s="43"/>
      <c r="H48" s="25"/>
      <c r="I48" s="39"/>
      <c r="J48" s="25"/>
      <c r="K48" s="25"/>
      <c r="L48" s="25">
        <f t="shared" si="2"/>
        <v>0</v>
      </c>
    </row>
    <row r="49" ht="18.75" spans="1:12">
      <c r="A49" s="16">
        <v>6</v>
      </c>
      <c r="B49" s="17" t="s">
        <v>13</v>
      </c>
      <c r="C49" s="40"/>
      <c r="D49" s="25"/>
      <c r="E49" s="14"/>
      <c r="F49" s="25"/>
      <c r="G49" s="43"/>
      <c r="H49" s="25"/>
      <c r="I49" s="14"/>
      <c r="J49" s="25"/>
      <c r="K49" s="25"/>
      <c r="L49" s="25">
        <f t="shared" si="2"/>
        <v>0</v>
      </c>
    </row>
    <row r="50" ht="18.75" spans="1:12">
      <c r="A50" s="16">
        <v>7</v>
      </c>
      <c r="B50" s="17" t="s">
        <v>14</v>
      </c>
      <c r="C50" s="45"/>
      <c r="D50" s="25"/>
      <c r="E50" s="14"/>
      <c r="F50" s="25"/>
      <c r="G50" s="40"/>
      <c r="H50" s="25"/>
      <c r="I50" s="14"/>
      <c r="J50" s="25"/>
      <c r="K50" s="25"/>
      <c r="L50" s="25">
        <f t="shared" si="2"/>
        <v>0</v>
      </c>
    </row>
    <row r="51" ht="18.75" spans="1:12">
      <c r="A51" s="16">
        <v>8</v>
      </c>
      <c r="B51" s="17" t="s">
        <v>15</v>
      </c>
      <c r="C51" s="45"/>
      <c r="D51" s="25"/>
      <c r="E51" s="14"/>
      <c r="F51" s="25"/>
      <c r="G51" s="40"/>
      <c r="H51" s="25"/>
      <c r="I51" s="14"/>
      <c r="J51" s="25"/>
      <c r="K51" s="25"/>
      <c r="L51" s="25">
        <f t="shared" si="2"/>
        <v>0</v>
      </c>
    </row>
    <row r="52" ht="18.75" spans="1:12">
      <c r="A52" s="16">
        <v>9</v>
      </c>
      <c r="B52" s="17" t="s">
        <v>16</v>
      </c>
      <c r="C52" s="45"/>
      <c r="D52" s="25"/>
      <c r="E52" s="14"/>
      <c r="F52" s="25"/>
      <c r="G52" s="39"/>
      <c r="H52" s="25"/>
      <c r="I52" s="46"/>
      <c r="J52" s="25"/>
      <c r="K52" s="25"/>
      <c r="L52" s="25">
        <f t="shared" si="2"/>
        <v>0</v>
      </c>
    </row>
    <row r="53" ht="18.75" spans="1:12">
      <c r="A53" s="16">
        <v>10</v>
      </c>
      <c r="B53" s="17" t="s">
        <v>17</v>
      </c>
      <c r="C53" s="46"/>
      <c r="D53" s="25"/>
      <c r="E53" s="42"/>
      <c r="F53" s="25"/>
      <c r="G53" s="47"/>
      <c r="H53" s="25"/>
      <c r="I53" s="46"/>
      <c r="J53" s="25"/>
      <c r="K53" s="25"/>
      <c r="L53" s="25">
        <f t="shared" si="2"/>
        <v>0</v>
      </c>
    </row>
    <row r="54" ht="18.75" spans="1:12">
      <c r="A54" s="16">
        <v>11</v>
      </c>
      <c r="B54" s="17" t="s">
        <v>18</v>
      </c>
      <c r="C54" s="46"/>
      <c r="D54" s="25"/>
      <c r="E54" s="42"/>
      <c r="F54" s="25"/>
      <c r="G54" s="47"/>
      <c r="H54" s="25"/>
      <c r="I54" s="46"/>
      <c r="J54" s="25"/>
      <c r="K54" s="25"/>
      <c r="L54" s="25">
        <f t="shared" si="2"/>
        <v>0</v>
      </c>
    </row>
    <row r="55" ht="18.75" spans="1:12">
      <c r="A55" s="16">
        <v>12</v>
      </c>
      <c r="B55" s="17" t="s">
        <v>19</v>
      </c>
      <c r="C55" s="46"/>
      <c r="D55" s="25"/>
      <c r="E55" s="39"/>
      <c r="F55" s="25"/>
      <c r="G55" s="47"/>
      <c r="H55" s="25"/>
      <c r="I55" s="46"/>
      <c r="J55" s="25"/>
      <c r="K55" s="25"/>
      <c r="L55" s="25">
        <f t="shared" si="2"/>
        <v>0</v>
      </c>
    </row>
    <row r="56" ht="18.75" spans="1:12">
      <c r="A56" s="16">
        <v>13</v>
      </c>
      <c r="B56" s="17" t="s">
        <v>20</v>
      </c>
      <c r="C56" s="14"/>
      <c r="D56" s="25"/>
      <c r="E56" s="45"/>
      <c r="F56" s="25"/>
      <c r="G56" s="48"/>
      <c r="H56" s="25"/>
      <c r="I56" s="39"/>
      <c r="J56" s="25"/>
      <c r="K56" s="25"/>
      <c r="L56" s="25">
        <f t="shared" si="2"/>
        <v>0</v>
      </c>
    </row>
    <row r="57" ht="18.75" spans="1:12">
      <c r="A57" s="16">
        <v>14</v>
      </c>
      <c r="B57" s="17" t="s">
        <v>21</v>
      </c>
      <c r="C57" s="14"/>
      <c r="D57" s="25"/>
      <c r="E57" s="45"/>
      <c r="F57" s="25"/>
      <c r="G57" s="48"/>
      <c r="H57" s="25"/>
      <c r="I57" s="39"/>
      <c r="J57" s="25"/>
      <c r="K57" s="25"/>
      <c r="L57" s="25">
        <f t="shared" si="2"/>
        <v>0</v>
      </c>
    </row>
    <row r="58" ht="18.75" spans="1:12">
      <c r="A58" s="16">
        <v>15</v>
      </c>
      <c r="B58" s="17" t="s">
        <v>22</v>
      </c>
      <c r="C58" s="14"/>
      <c r="D58" s="25"/>
      <c r="E58" s="43"/>
      <c r="F58" s="25"/>
      <c r="G58" s="48"/>
      <c r="H58" s="25"/>
      <c r="I58" s="39"/>
      <c r="J58" s="25"/>
      <c r="K58" s="25"/>
      <c r="L58" s="25">
        <f t="shared" si="2"/>
        <v>0</v>
      </c>
    </row>
    <row r="59" ht="18.75" spans="1:12">
      <c r="A59" s="16">
        <v>16</v>
      </c>
      <c r="B59" s="17" t="s">
        <v>23</v>
      </c>
      <c r="C59" s="14"/>
      <c r="D59" s="25"/>
      <c r="E59" s="43"/>
      <c r="F59" s="25"/>
      <c r="G59" s="48"/>
      <c r="H59" s="25"/>
      <c r="I59" s="44"/>
      <c r="J59" s="25"/>
      <c r="K59" s="25"/>
      <c r="L59" s="25">
        <f t="shared" si="2"/>
        <v>0</v>
      </c>
    </row>
    <row r="60" ht="18.75" spans="1:12">
      <c r="A60" s="16">
        <v>17</v>
      </c>
      <c r="B60" s="17" t="s">
        <v>24</v>
      </c>
      <c r="C60" s="49"/>
      <c r="D60" s="25"/>
      <c r="E60" s="43"/>
      <c r="F60" s="25"/>
      <c r="G60" s="40"/>
      <c r="H60" s="25"/>
      <c r="I60" s="41"/>
      <c r="J60" s="25"/>
      <c r="K60" s="25"/>
      <c r="L60" s="25">
        <f t="shared" si="2"/>
        <v>0</v>
      </c>
    </row>
    <row r="61" ht="18.75" spans="1:12">
      <c r="A61" s="16">
        <v>18</v>
      </c>
      <c r="B61" s="17" t="s">
        <v>25</v>
      </c>
      <c r="C61" s="42"/>
      <c r="D61" s="25"/>
      <c r="E61" s="46"/>
      <c r="F61" s="25"/>
      <c r="G61" s="40"/>
      <c r="H61" s="25"/>
      <c r="I61" s="47"/>
      <c r="J61" s="25"/>
      <c r="K61" s="25"/>
      <c r="L61" s="25">
        <f t="shared" si="2"/>
        <v>0</v>
      </c>
    </row>
    <row r="62" ht="18.75" spans="1:12">
      <c r="A62" s="16">
        <v>19</v>
      </c>
      <c r="B62" s="17" t="s">
        <v>26</v>
      </c>
      <c r="C62" s="42"/>
      <c r="D62" s="25"/>
      <c r="E62" s="46"/>
      <c r="F62" s="25"/>
      <c r="G62" s="39"/>
      <c r="H62" s="25"/>
      <c r="I62" s="47"/>
      <c r="J62" s="25"/>
      <c r="K62" s="25"/>
      <c r="L62" s="25">
        <f t="shared" si="2"/>
        <v>0</v>
      </c>
    </row>
    <row r="63" ht="18.75" spans="1:12">
      <c r="A63" s="16">
        <v>20</v>
      </c>
      <c r="B63" s="17" t="s">
        <v>27</v>
      </c>
      <c r="C63" s="42"/>
      <c r="D63" s="25"/>
      <c r="E63" s="46"/>
      <c r="F63" s="25"/>
      <c r="G63" s="14"/>
      <c r="H63" s="25"/>
      <c r="I63" s="47"/>
      <c r="J63" s="25"/>
      <c r="K63" s="25"/>
      <c r="L63" s="25">
        <f t="shared" si="2"/>
        <v>0</v>
      </c>
    </row>
    <row r="64" ht="18.75" spans="1:12">
      <c r="A64" s="16">
        <v>21</v>
      </c>
      <c r="B64" s="17" t="s">
        <v>28</v>
      </c>
      <c r="C64" s="50"/>
      <c r="D64" s="25"/>
      <c r="E64" s="46"/>
      <c r="F64" s="25"/>
      <c r="G64" s="14"/>
      <c r="H64" s="25"/>
      <c r="I64" s="48"/>
      <c r="J64" s="25"/>
      <c r="K64" s="25"/>
      <c r="L64" s="25">
        <f>J64+H64+F64+D64</f>
        <v>0</v>
      </c>
    </row>
    <row r="65" ht="18.75" spans="1:12">
      <c r="A65" s="16">
        <v>22</v>
      </c>
      <c r="B65" s="17" t="s">
        <v>29</v>
      </c>
      <c r="C65" s="50"/>
      <c r="D65" s="25"/>
      <c r="E65" s="39"/>
      <c r="F65" s="25"/>
      <c r="G65" s="14"/>
      <c r="H65" s="25"/>
      <c r="I65" s="48"/>
      <c r="J65" s="25"/>
      <c r="K65" s="25"/>
      <c r="L65" s="25">
        <f t="shared" si="2"/>
        <v>0</v>
      </c>
    </row>
    <row r="66" ht="18.75" spans="1:12">
      <c r="A66" s="16">
        <v>23</v>
      </c>
      <c r="B66" s="17" t="s">
        <v>30</v>
      </c>
      <c r="C66" s="50"/>
      <c r="D66" s="25"/>
      <c r="E66" s="39"/>
      <c r="F66" s="25"/>
      <c r="G66" s="14"/>
      <c r="H66" s="25"/>
      <c r="I66" s="48"/>
      <c r="J66" s="25"/>
      <c r="K66" s="25"/>
      <c r="L66" s="25">
        <f t="shared" si="2"/>
        <v>0</v>
      </c>
    </row>
    <row r="67" ht="18.75" spans="1:12">
      <c r="A67" s="16">
        <v>24</v>
      </c>
      <c r="B67" s="17" t="s">
        <v>31</v>
      </c>
      <c r="C67" s="51"/>
      <c r="D67" s="25"/>
      <c r="E67" s="39"/>
      <c r="F67" s="25"/>
      <c r="G67" s="14"/>
      <c r="H67" s="25"/>
      <c r="I67" s="48"/>
      <c r="J67" s="25"/>
      <c r="K67" s="25"/>
      <c r="L67" s="25">
        <f t="shared" si="2"/>
        <v>0</v>
      </c>
    </row>
    <row r="68" ht="18.75" spans="1:12">
      <c r="A68" s="16">
        <v>26</v>
      </c>
      <c r="B68" s="19" t="s">
        <v>32</v>
      </c>
      <c r="C68" s="47"/>
      <c r="D68" s="25"/>
      <c r="E68" s="41"/>
      <c r="F68" s="25"/>
      <c r="G68" s="42"/>
      <c r="H68" s="25"/>
      <c r="I68" s="48"/>
      <c r="J68" s="25"/>
      <c r="K68" s="25"/>
      <c r="L68" s="25">
        <f t="shared" si="2"/>
        <v>0</v>
      </c>
    </row>
    <row r="69" ht="18.75" spans="1:12">
      <c r="A69" s="16">
        <v>27</v>
      </c>
      <c r="B69" s="19" t="s">
        <v>33</v>
      </c>
      <c r="C69" s="47"/>
      <c r="D69" s="25"/>
      <c r="E69" s="50"/>
      <c r="F69" s="25"/>
      <c r="G69" s="42"/>
      <c r="H69" s="25"/>
      <c r="I69" s="39"/>
      <c r="J69" s="25"/>
      <c r="K69" s="25"/>
      <c r="L69" s="25">
        <f t="shared" si="2"/>
        <v>0</v>
      </c>
    </row>
    <row r="70" ht="18.75" spans="1:12">
      <c r="A70" s="16">
        <v>28</v>
      </c>
      <c r="B70" s="19" t="s">
        <v>34</v>
      </c>
      <c r="C70" s="39"/>
      <c r="D70" s="25"/>
      <c r="E70" s="50"/>
      <c r="F70" s="25"/>
      <c r="G70" s="42"/>
      <c r="H70" s="25"/>
      <c r="I70" s="43"/>
      <c r="J70" s="25"/>
      <c r="K70" s="25"/>
      <c r="L70" s="25">
        <f t="shared" si="2"/>
        <v>0</v>
      </c>
    </row>
    <row r="71" ht="18.75" spans="1:12">
      <c r="A71" s="16">
        <v>29</v>
      </c>
      <c r="B71" s="19" t="s">
        <v>35</v>
      </c>
      <c r="C71" s="48"/>
      <c r="D71" s="25"/>
      <c r="E71" s="50"/>
      <c r="F71" s="25"/>
      <c r="G71" s="46"/>
      <c r="H71" s="25"/>
      <c r="I71" s="43"/>
      <c r="J71" s="25"/>
      <c r="K71" s="25"/>
      <c r="L71" s="25">
        <f t="shared" si="2"/>
        <v>0</v>
      </c>
    </row>
    <row r="72" ht="18.75" spans="1:12">
      <c r="A72" s="16">
        <v>30</v>
      </c>
      <c r="B72" s="19" t="s">
        <v>36</v>
      </c>
      <c r="C72" s="48"/>
      <c r="D72" s="25"/>
      <c r="E72" s="39"/>
      <c r="F72" s="25"/>
      <c r="G72" s="46"/>
      <c r="H72" s="25"/>
      <c r="I72" s="43"/>
      <c r="J72" s="25"/>
      <c r="K72" s="25"/>
      <c r="L72" s="25">
        <f t="shared" si="2"/>
        <v>0</v>
      </c>
    </row>
    <row r="73" ht="18.75" spans="1:12">
      <c r="A73" s="16">
        <v>31</v>
      </c>
      <c r="B73" s="19" t="s">
        <v>37</v>
      </c>
      <c r="C73" s="48"/>
      <c r="D73" s="25"/>
      <c r="E73" s="47"/>
      <c r="F73" s="25"/>
      <c r="G73" s="46"/>
      <c r="H73" s="25"/>
      <c r="I73" s="50"/>
      <c r="J73" s="25"/>
      <c r="K73" s="25"/>
      <c r="L73" s="25">
        <f t="shared" si="2"/>
        <v>0</v>
      </c>
    </row>
    <row r="74" ht="18.75" spans="1:12">
      <c r="A74" s="16">
        <v>32</v>
      </c>
      <c r="B74" s="19" t="s">
        <v>38</v>
      </c>
      <c r="C74" s="45"/>
      <c r="D74" s="25"/>
      <c r="E74" s="47"/>
      <c r="F74" s="25"/>
      <c r="G74" s="46"/>
      <c r="H74" s="25"/>
      <c r="I74" s="50"/>
      <c r="J74" s="25"/>
      <c r="K74" s="25"/>
      <c r="L74" s="25">
        <f t="shared" si="2"/>
        <v>0</v>
      </c>
    </row>
    <row r="75" ht="18.75" spans="1:12">
      <c r="A75" s="16">
        <v>33</v>
      </c>
      <c r="B75" s="19" t="s">
        <v>39</v>
      </c>
      <c r="C75" s="45"/>
      <c r="D75" s="25"/>
      <c r="E75" s="47"/>
      <c r="F75" s="25"/>
      <c r="G75" s="39"/>
      <c r="H75" s="25"/>
      <c r="I75" s="50"/>
      <c r="J75" s="25"/>
      <c r="K75" s="25"/>
      <c r="L75" s="25">
        <f t="shared" si="2"/>
        <v>0</v>
      </c>
    </row>
    <row r="76" ht="18.75" spans="1:12">
      <c r="A76" s="16">
        <v>34</v>
      </c>
      <c r="B76" s="19" t="s">
        <v>40</v>
      </c>
      <c r="C76" s="39"/>
      <c r="D76" s="25"/>
      <c r="E76" s="47"/>
      <c r="F76" s="25"/>
      <c r="G76" s="43"/>
      <c r="H76" s="25"/>
      <c r="I76" s="50"/>
      <c r="J76" s="25"/>
      <c r="K76" s="25"/>
      <c r="L76" s="25">
        <f t="shared" si="2"/>
        <v>0</v>
      </c>
    </row>
    <row r="77" spans="1:12">
      <c r="K77" s="52" t="s">
        <v>4</v>
      </c>
      <c r="L77" s="38">
        <f>L76+L75+L74+L73+L72+L71+L70+L69+L68+L67+L66+L65+L64+L63+L62+L61+L60+L59+L58+L57+L56+L55+L54+L53+L52+L51+L50+L49+L48+L47+L46+L45+L44</f>
        <v>0</v>
      </c>
    </row>
    <row r="79" ht="18.75" spans="1:12">
      <c r="B79" s="15" t="s">
        <v>6</v>
      </c>
      <c r="C79" s="14" t="s">
        <v>4</v>
      </c>
    </row>
    <row r="80" ht="18.75" spans="1:12">
      <c r="B80" s="17" t="s">
        <v>8</v>
      </c>
      <c r="C80" s="39">
        <f>L44+AC7</f>
        <v>0</v>
      </c>
    </row>
    <row r="81" ht="18.75" spans="2:3">
      <c r="B81" s="17" t="s">
        <v>9</v>
      </c>
      <c r="C81" s="43">
        <f>L45+AC8</f>
        <v>0</v>
      </c>
    </row>
    <row r="82" ht="18.75" spans="2:3">
      <c r="B82" s="17" t="s">
        <v>10</v>
      </c>
      <c r="C82" s="43">
        <f>L46+AC9</f>
        <v>0</v>
      </c>
    </row>
    <row r="83" ht="18.75" spans="2:3">
      <c r="B83" s="17" t="s">
        <v>11</v>
      </c>
      <c r="C83" s="43">
        <f t="array" ref="C83:C112">L47:L76+AC10:AC39</f>
        <v>0</v>
      </c>
    </row>
    <row r="84" ht="18.75" spans="2:3">
      <c r="B84" s="17" t="s">
        <v>12</v>
      </c>
      <c r="C84" s="43">
        <v>0</v>
      </c>
    </row>
    <row r="85" ht="18.75" spans="2:3">
      <c r="B85" s="17" t="s">
        <v>13</v>
      </c>
      <c r="C85" s="53">
        <v>0</v>
      </c>
    </row>
    <row r="86" ht="18.75" spans="2:3">
      <c r="B86" s="17" t="s">
        <v>14</v>
      </c>
      <c r="C86" s="54">
        <v>0</v>
      </c>
    </row>
    <row r="87" ht="18.75" spans="2:3">
      <c r="B87" s="17" t="s">
        <v>45</v>
      </c>
      <c r="C87" s="54">
        <v>0</v>
      </c>
    </row>
    <row r="88" ht="18.75" spans="2:3">
      <c r="B88" s="17" t="s">
        <v>16</v>
      </c>
      <c r="C88" s="54">
        <v>0</v>
      </c>
    </row>
    <row r="89" ht="18.75" spans="2:3">
      <c r="B89" s="17" t="s">
        <v>17</v>
      </c>
      <c r="C89" s="46">
        <v>0</v>
      </c>
    </row>
    <row r="90" ht="18.75" spans="2:3">
      <c r="B90" s="17" t="s">
        <v>18</v>
      </c>
      <c r="C90" s="46">
        <v>0</v>
      </c>
    </row>
    <row r="91" ht="18.75" spans="2:3">
      <c r="B91" s="17" t="s">
        <v>19</v>
      </c>
      <c r="C91" s="46">
        <v>0</v>
      </c>
    </row>
    <row r="92" ht="18.75" spans="2:3">
      <c r="B92" s="17" t="s">
        <v>20</v>
      </c>
      <c r="C92" s="14">
        <v>0</v>
      </c>
    </row>
    <row r="93" ht="18.75" spans="2:3">
      <c r="B93" s="17" t="s">
        <v>21</v>
      </c>
      <c r="C93" s="14">
        <v>0</v>
      </c>
    </row>
    <row r="94" ht="18.75" spans="2:3">
      <c r="B94" s="17" t="s">
        <v>22</v>
      </c>
      <c r="C94" s="14">
        <v>0</v>
      </c>
    </row>
    <row r="95" ht="18.75" spans="2:3">
      <c r="B95" s="17" t="s">
        <v>23</v>
      </c>
      <c r="C95" s="14">
        <v>0</v>
      </c>
    </row>
    <row r="96" ht="18.75" spans="2:3">
      <c r="B96" s="17" t="s">
        <v>24</v>
      </c>
      <c r="C96" s="55">
        <v>0</v>
      </c>
    </row>
    <row r="97" ht="18.75" spans="2:3">
      <c r="B97" s="17" t="s">
        <v>25</v>
      </c>
      <c r="C97" s="42">
        <v>0</v>
      </c>
    </row>
    <row r="98" ht="18.75" spans="2:3">
      <c r="B98" s="17" t="s">
        <v>26</v>
      </c>
      <c r="C98" s="42">
        <v>0</v>
      </c>
    </row>
    <row r="99" ht="18.75" spans="2:3">
      <c r="B99" s="17" t="s">
        <v>27</v>
      </c>
      <c r="C99" s="42">
        <v>0</v>
      </c>
    </row>
    <row r="100" ht="18.75" spans="2:3">
      <c r="B100" s="17" t="s">
        <v>28</v>
      </c>
      <c r="C100" s="50">
        <v>0</v>
      </c>
    </row>
    <row r="101" ht="18.75" spans="2:3">
      <c r="B101" s="17" t="s">
        <v>29</v>
      </c>
      <c r="C101" s="50">
        <v>0</v>
      </c>
    </row>
    <row r="102" ht="18.75" spans="2:3">
      <c r="B102" s="17" t="s">
        <v>30</v>
      </c>
      <c r="C102" s="50">
        <v>0</v>
      </c>
    </row>
    <row r="103" ht="18.75" spans="2:3">
      <c r="B103" s="17" t="s">
        <v>31</v>
      </c>
      <c r="C103" s="47">
        <v>0</v>
      </c>
    </row>
    <row r="104" ht="18.75" spans="2:3">
      <c r="B104" s="19" t="s">
        <v>32</v>
      </c>
      <c r="C104" s="47">
        <v>0</v>
      </c>
    </row>
    <row r="105" ht="18.75" spans="2:3">
      <c r="B105" s="19" t="s">
        <v>33</v>
      </c>
      <c r="C105" s="47">
        <v>0</v>
      </c>
    </row>
    <row r="106" ht="18.75" spans="2:3">
      <c r="B106" s="19" t="s">
        <v>34</v>
      </c>
      <c r="C106" s="39">
        <v>0</v>
      </c>
    </row>
    <row r="107" ht="18.75" spans="2:3">
      <c r="B107" s="19" t="s">
        <v>46</v>
      </c>
      <c r="C107" s="48">
        <v>0</v>
      </c>
    </row>
    <row r="108" ht="18.75" spans="2:3">
      <c r="B108" s="19" t="s">
        <v>36</v>
      </c>
      <c r="C108" s="56">
        <v>0</v>
      </c>
    </row>
    <row r="109" ht="18.75" spans="2:3">
      <c r="B109" s="19" t="s">
        <v>37</v>
      </c>
      <c r="C109" s="56">
        <v>0</v>
      </c>
    </row>
    <row r="110" ht="18.75" spans="2:3">
      <c r="B110" s="19" t="s">
        <v>38</v>
      </c>
      <c r="C110" s="45">
        <v>0</v>
      </c>
    </row>
    <row r="111" ht="18.75" spans="2:3">
      <c r="B111" s="19" t="s">
        <v>47</v>
      </c>
      <c r="C111" s="45">
        <v>0</v>
      </c>
    </row>
    <row r="112" ht="18.75" spans="2:3">
      <c r="B112" s="19" t="s">
        <v>40</v>
      </c>
      <c r="C112" s="55">
        <v>0</v>
      </c>
    </row>
    <row r="113" spans="3:3">
      <c r="C113" s="57">
        <f>C80+C81+C82+C83+C84+C85+C86+C87+C88+C89+C90+C91+C92+C93+C94+C95+C96+C97+C98+C99+C100+C101+C102+C103+C104+C105+C106+C107+C109+C110+C111+C112</f>
        <v>0</v>
      </c>
    </row>
  </sheetData>
  <dataValidations count="2">
    <dataValidation type="list" allowBlank="1" showInputMessage="1" showErrorMessage="1" sqref="G76">
      <formula1>$A$7:$A$24</formula1>
    </dataValidation>
    <dataValidation type="list" allowBlank="1" showInputMessage="1" showErrorMessage="1" sqref="K44:K76">
      <formula1>#REF!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Kingsoft Office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lima</dc:creator>
  <cp:lastModifiedBy>lima</cp:lastModifiedBy>
  <dcterms:created xsi:type="dcterms:W3CDTF">2025-11-18T22:04:00Z</dcterms:created>
  <dcterms:modified xsi:type="dcterms:W3CDTF">2026-04-24T23:00:45Z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6FFD37DA90764BD8A705DE1FCEEFCDED_13</vt:lpwstr>
  </property>
  <property fmtid="{D5CDD505-2E9C-101B-9397-08002B2CF9AE}" pid="3" name="KSOProductBuildVer">
    <vt:lpwstr>3082-12.1.0.25242</vt:lpwstr>
  </property>
  <property fmtid="{D5CDD505-2E9C-101B-9397-08002B2CF9AE}" pid="4" name="CalculationRule">
    <vt:i4>0</vt:i4>
  </property>
</Properties>
</file>